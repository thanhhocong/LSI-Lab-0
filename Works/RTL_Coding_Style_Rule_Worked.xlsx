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c1cb788cb4ca7e87/Desktop/LSI-Lab-0/Works/"/>
    </mc:Choice>
  </mc:AlternateContent>
  <xr:revisionPtr revIDLastSave="137" documentId="11_D8D8441F927FDFB16281060EB5B636D57510D5D5" xr6:coauthVersionLast="47" xr6:coauthVersionMax="47" xr10:uidLastSave="{9245941B-334E-415C-956B-39033156A7B4}"/>
  <bookViews>
    <workbookView xWindow="-120" yWindow="255" windowWidth="29040" windowHeight="16065" activeTab="4" xr2:uid="{00000000-000D-0000-FFFF-FFFF00000000}"/>
  </bookViews>
  <sheets>
    <sheet name="REV_HISTORY" sheetId="1" r:id="rId1"/>
    <sheet name="stt_check_item" sheetId="2" r:id="rId2"/>
    <sheet name="rtl_check_item" sheetId="3" r:id="rId3"/>
    <sheet name="tb_check_item" sheetId="4" r:id="rId4"/>
    <sheet name="redmine_check_item" sheetId="5" r:id="rId5"/>
  </sheets>
  <definedNames>
    <definedName name="Excel_BuiltIn_Print_Titles_2_1">stt_check_item!$A$3:$IP$4</definedName>
    <definedName name="Excel_BuiltIn_Print_Titles_3">#REF!</definedName>
    <definedName name="_xlnm.Print_Titles" localSheetId="1">stt_check_item!$3:$4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4" l="1"/>
  <c r="N25" i="4"/>
  <c r="O5" i="4"/>
  <c r="N5" i="4"/>
  <c r="O59" i="3"/>
  <c r="N59" i="3"/>
  <c r="O5" i="3"/>
  <c r="N5" i="3"/>
  <c r="O14" i="2"/>
  <c r="N14" i="2"/>
  <c r="O5" i="2"/>
  <c r="N5" i="2"/>
  <c r="O17" i="5"/>
  <c r="N17" i="5"/>
  <c r="O5" i="5"/>
  <c r="N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000-000001000000}">
      <text>
        <r>
          <rPr>
            <sz val="11"/>
            <rFont val="ＭＳ Ｐゴシック"/>
            <family val="2"/>
            <charset val="128"/>
          </rPr>
          <t>Show revision day</t>
        </r>
      </text>
    </comment>
    <comment ref="C4" authorId="0" shapeId="0" xr:uid="{00000000-0006-0000-0000-000002000000}">
      <text>
        <r>
          <rPr>
            <sz val="11"/>
            <rFont val="ＭＳ Ｐゴシック"/>
            <family val="2"/>
            <charset val="128"/>
          </rPr>
          <t>Show updated version</t>
        </r>
      </text>
    </comment>
    <comment ref="D4" authorId="0" shapeId="0" xr:uid="{00000000-0006-0000-0000-000003000000}">
      <text>
        <r>
          <rPr>
            <sz val="11"/>
            <rFont val="ＭＳ Ｐゴシック"/>
            <family val="2"/>
            <charset val="128"/>
          </rPr>
          <t>Show modified items</t>
        </r>
      </text>
    </comment>
    <comment ref="F4" authorId="0" shapeId="0" xr:uid="{00000000-0006-0000-0000-000004000000}">
      <text>
        <r>
          <rPr>
            <sz val="11"/>
            <rFont val="ＭＳ Ｐゴシック"/>
            <family val="2"/>
            <charset val="128"/>
          </rPr>
          <t>Show author's name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N6" authorId="0" shapeId="0" xr:uid="{00000000-0006-0000-0100-000001000000}">
      <text>
        <r>
          <rPr>
            <sz val="11"/>
            <rFont val="ＭＳ Ｐゴシック"/>
            <family val="2"/>
            <charset val="128"/>
          </rPr>
          <t>Show your understanding of this item (Y/N)</t>
        </r>
      </text>
    </comment>
    <comment ref="O6" authorId="0" shapeId="0" xr:uid="{00000000-0006-0000-0100-000002000000}">
      <text>
        <r>
          <rPr>
            <sz val="11"/>
            <rFont val="ＭＳ Ｐゴシック"/>
            <family val="2"/>
            <charset val="128"/>
          </rPr>
          <t>Show your checked result of this item
OK : passed
NG : didn't follow this item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N6" authorId="0" shapeId="0" xr:uid="{00000000-0006-0000-0200-000001000000}">
      <text>
        <r>
          <rPr>
            <sz val="11"/>
            <rFont val="ＭＳ Ｐゴシック"/>
            <family val="2"/>
            <charset val="128"/>
          </rPr>
          <t>Show your understanding of this item (Y/N)</t>
        </r>
      </text>
    </comment>
    <comment ref="O6" authorId="0" shapeId="0" xr:uid="{00000000-0006-0000-0200-000002000000}">
      <text>
        <r>
          <rPr>
            <sz val="11"/>
            <rFont val="ＭＳ Ｐゴシック"/>
            <family val="2"/>
            <charset val="128"/>
          </rPr>
          <t>Show your checked result of this item
OK : passed
NG : didn't follow this item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N6" authorId="0" shapeId="0" xr:uid="{00000000-0006-0000-0300-000001000000}">
      <text>
        <r>
          <rPr>
            <sz val="11"/>
            <rFont val="ＭＳ Ｐゴシック"/>
            <family val="2"/>
            <charset val="128"/>
          </rPr>
          <t>Show your understanding of this item (Y/N)</t>
        </r>
      </text>
    </comment>
    <comment ref="O6" authorId="0" shapeId="0" xr:uid="{00000000-0006-0000-0300-000002000000}">
      <text>
        <r>
          <rPr>
            <sz val="11"/>
            <rFont val="ＭＳ Ｐゴシック"/>
            <family val="2"/>
            <charset val="128"/>
          </rPr>
          <t>Show your checked result of this item
OK : passed
NG : didn't follow this item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N6" authorId="0" shapeId="0" xr:uid="{00000000-0006-0000-0400-000001000000}">
      <text>
        <r>
          <rPr>
            <sz val="11"/>
            <rFont val="ＭＳ Ｐゴシック"/>
            <family val="2"/>
            <charset val="128"/>
          </rPr>
          <t>Show your understanding of this item (Y/N)</t>
        </r>
      </text>
    </comment>
    <comment ref="O6" authorId="0" shapeId="0" xr:uid="{00000000-0006-0000-0400-000002000000}">
      <text>
        <r>
          <rPr>
            <sz val="11"/>
            <rFont val="ＭＳ Ｐゴシック"/>
            <family val="2"/>
            <charset val="128"/>
          </rPr>
          <t>Show your checked result of this item
OK : passed
NG : didn't follow this item</t>
        </r>
      </text>
    </comment>
  </commentList>
</comments>
</file>

<file path=xl/sharedStrings.xml><?xml version="1.0" encoding="utf-8"?>
<sst xmlns="http://schemas.openxmlformats.org/spreadsheetml/2006/main" count="631" uniqueCount="171">
  <si>
    <t>1</t>
  </si>
  <si>
    <t>Exercise</t>
  </si>
  <si>
    <t>1/2/3</t>
  </si>
  <si>
    <t>1st category</t>
  </si>
  <si>
    <t>2nd category</t>
  </si>
  <si>
    <t>3nd category</t>
  </si>
  <si>
    <t>Understand</t>
  </si>
  <si>
    <t>Check</t>
  </si>
  <si>
    <t>Checked day</t>
  </si>
  <si>
    <t>By who</t>
  </si>
  <si>
    <t>Remark</t>
  </si>
  <si>
    <t>No.</t>
  </si>
  <si>
    <t>Y/N</t>
  </si>
  <si>
    <t>OK/NG</t>
  </si>
  <si>
    <t>Total</t>
  </si>
  <si>
    <t>Ticket header</t>
  </si>
  <si>
    <t>Template</t>
  </si>
  <si>
    <t>Must follow the rule</t>
  </si>
  <si>
    <t>NG</t>
  </si>
  <si>
    <t>2026/03/25</t>
  </si>
  <si>
    <t>Not applicable for individual exercise submission</t>
  </si>
  <si>
    <t>Watcher List</t>
  </si>
  <si>
    <t>Duration</t>
  </si>
  <si>
    <t>Must set start time, due date</t>
  </si>
  <si>
    <t>Assignee</t>
  </si>
  <si>
    <t>Must set assignee</t>
  </si>
  <si>
    <t>Parrent task</t>
  </si>
  <si>
    <t>Must set parrent task for sub-ticket</t>
  </si>
  <si>
    <t>Status update</t>
  </si>
  <si>
    <t>Must update status/progress frequently.</t>
  </si>
  <si>
    <t>Ticket content</t>
  </si>
  <si>
    <t>Format</t>
  </si>
  <si>
    <t>Must follow the format</t>
  </si>
  <si>
    <t>Content</t>
  </si>
  <si>
    <t>Must NOT write TOO short info.</t>
  </si>
  <si>
    <t>Make use of table to summary info.</t>
  </si>
  <si>
    <t>Attachment</t>
  </si>
  <si>
    <t>Must not add any design document to redmine</t>
  </si>
  <si>
    <t>Ticket notes</t>
  </si>
  <si>
    <t>Do not compose the new comment if the reply comment involving the old comment, 
=&gt; Quote/Reply the content of old comment</t>
  </si>
  <si>
    <t>v0r0</t>
  </si>
  <si>
    <t>- For Ex1</t>
  </si>
  <si>
    <t>- New creation</t>
  </si>
  <si>
    <t>Header</t>
  </si>
  <si>
    <t>Specify Name, Date, and Revision History</t>
  </si>
  <si>
    <t>Y</t>
  </si>
  <si>
    <t>OK</t>
  </si>
  <si>
    <t>Notes if any</t>
  </si>
  <si>
    <t>File Format</t>
  </si>
  <si>
    <t>Use MS Office</t>
  </si>
  <si>
    <t>Event</t>
  </si>
  <si>
    <t>Exclusive</t>
  </si>
  <si>
    <t>All events must be exclusive</t>
  </si>
  <si>
    <t>Complete</t>
  </si>
  <si>
    <t>All events must be complete (cover all cases)</t>
  </si>
  <si>
    <t>State</t>
  </si>
  <si>
    <t>Comment</t>
  </si>
  <si>
    <t>Must give comment on the meaning of each state</t>
  </si>
  <si>
    <t>Naming</t>
  </si>
  <si>
    <t>Name the state according to its meaning</t>
  </si>
  <si>
    <t>Never-happen events</t>
  </si>
  <si>
    <t>Must specify what shall be done at those events</t>
  </si>
  <si>
    <t>Non-reachable states</t>
  </si>
  <si>
    <t>All states must be reachable</t>
  </si>
  <si>
    <t>Logic correctness</t>
  </si>
  <si>
    <t>RTL – Document match</t>
  </si>
  <si>
    <t>Code matched with your document exactly</t>
  </si>
  <si>
    <t>Correctness confirmation by simulation</t>
  </si>
  <si>
    <t>Simulation is done with appropriate testbench and there must be NO ERROR</t>
  </si>
  <si>
    <t>Notation</t>
  </si>
  <si>
    <t>Only use //, Do NOT use /* */</t>
  </si>
  <si>
    <t>Comment sentence</t>
  </si>
  <si>
    <t>Only use English, do NOT use other languages including Vietnamese</t>
  </si>
  <si>
    <t>Comment for register type variables</t>
  </si>
  <si>
    <t>Clarify whether FF or combinational logic is aimed</t>
  </si>
  <si>
    <t>Header &amp; Revision</t>
  </si>
  <si>
    <t>Use meaningful header file to describe the module</t>
  </si>
  <si>
    <t>Use meaningful revision to record changes of the module</t>
  </si>
  <si>
    <t>Indentation</t>
  </si>
  <si>
    <t>Use 2 spaces for indentation instead of TAB character</t>
  </si>
  <si>
    <t>Blank line</t>
  </si>
  <si>
    <t>Use blank lines to improve readability of code</t>
  </si>
  <si>
    <t>Begin-end pair</t>
  </si>
  <si>
    <t>Do not omit begin/end pair</t>
  </si>
  <si>
    <t>Bit stream declaration</t>
  </si>
  <si>
    <t>Use “_” to improve readability of value. For ex : 8'b01101100 =&gt; 8'b01_10_11_00</t>
  </si>
  <si>
    <t>Name length</t>
  </si>
  <si>
    <t>Be more than 2 and less than 20</t>
  </si>
  <si>
    <t>Character type</t>
  </si>
  <si>
    <t>Only use lowercase for module name, port name, and variable name</t>
  </si>
  <si>
    <t>Only use uppercase for parameter and define</t>
  </si>
  <si>
    <t>Polarity</t>
  </si>
  <si>
    <t>Add “_n” at the end for active low signals</t>
  </si>
  <si>
    <t>Others</t>
  </si>
  <si>
    <t>Do not append version nor revision into module name</t>
  </si>
  <si>
    <t>Use modulename_01, modulename_02, etc for instance name</t>
  </si>
  <si>
    <t>Name INPUT and OUTPUT of module as same as what's specified in specification</t>
  </si>
  <si>
    <t>Use meaningful and appropriate name in English (important for readability)</t>
  </si>
  <si>
    <t>Declaration</t>
  </si>
  <si>
    <t>Declaration line</t>
  </si>
  <si>
    <t>One declaration in one line</t>
  </si>
  <si>
    <t>Separate “reg” declaration for FF and non-FF</t>
  </si>
  <si>
    <t>Initial value</t>
  </si>
  <si>
    <t>Do not assign initial value in declaration</t>
  </si>
  <si>
    <t>Assignment</t>
  </si>
  <si>
    <t>Do NOT use net declaration assignment unless it significantly improves the readability</t>
  </si>
  <si>
    <t>Vector signal</t>
  </si>
  <si>
    <t>Use [n:0] declaration style for vector signal. Do not use [0:n] style</t>
  </si>
  <si>
    <t>Explicit declaration</t>
  </si>
  <si>
    <t>Declare ALL used variables. Do not drop any declaration</t>
  </si>
  <si>
    <t>Declaration order</t>
  </si>
  <si>
    <t>The order must be Input, Output and Internal signal</t>
  </si>
  <si>
    <t>Module connection</t>
  </si>
  <si>
    <t>Port connection</t>
  </si>
  <si>
    <t>Only use port connection by name. Do not use port connection by order</t>
  </si>
  <si>
    <t>Always statement</t>
  </si>
  <si>
    <t>FF</t>
  </si>
  <si>
    <t>Write only clock and reset in the sensitivity list (edge sense signal)</t>
  </si>
  <si>
    <t>Use if(rst==1'b1) for posedge rst, Use if(rst_n==1'b0) for negedge rst_n</t>
  </si>
  <si>
    <t>Only use non-blocking assignment, &lt;=. Do NOT use “=”</t>
  </si>
  <si>
    <t>Add delay to avoid racing</t>
  </si>
  <si>
    <t>Declare the clock signal before reset signal (to remove tool dependency behavior)</t>
  </si>
  <si>
    <t>Combinational logic</t>
  </si>
  <si>
    <t>Do NOT use always @ *. List all the RHS in the sensitivity list (level sense signal)</t>
  </si>
  <si>
    <t>Assign values to all the LHS variables in ALL possible paths to avoid LATCH</t>
  </si>
  <si>
    <t>Only use blocking assignment, =. Do NOT use “&lt;=”</t>
  </si>
  <si>
    <t>Do NOT add delay (This is applicable for FF only)</t>
  </si>
  <si>
    <t>Do NOT use a big always block for many signals. Separate them into several ones</t>
  </si>
  <si>
    <t>Do NOT create “timing-loop”. It's prohibited for STA (Static Timing Analysis)</t>
  </si>
  <si>
    <t>Common</t>
  </si>
  <si>
    <t>Do NOT mix FF and Comb. logic in the same always block. Separate them</t>
  </si>
  <si>
    <t>Do NOT assign values to the same variable from more than two always statements</t>
  </si>
  <si>
    <t>Do NOT mix synchronous and asynchronous signals in one always block</t>
  </si>
  <si>
    <t>If/Case statement</t>
  </si>
  <si>
    <t>If statement</t>
  </si>
  <si>
    <t>Do NOT use deep nested if statements (more than 2 level)</t>
  </si>
  <si>
    <t>Case statement</t>
  </si>
  <si>
    <t>Do NOT use case statement for simple logic where “if” is more suitable</t>
  </si>
  <si>
    <t>Do NOT use casex</t>
  </si>
  <si>
    <t>List up similar cases with comma</t>
  </si>
  <si>
    <t>Do NOT use default for normal path</t>
  </si>
  <si>
    <t>Do NOT omit default</t>
  </si>
  <si>
    <t>Other</t>
  </si>
  <si>
    <t>State machine &amp; Other control signal</t>
  </si>
  <si>
    <t>Use state machine with higher priority than other signals in controlling</t>
  </si>
  <si>
    <t>Bit-width matching</t>
  </si>
  <si>
    <t>The bit width of left-hand side variable and right-hand-side must be the same</t>
  </si>
  <si>
    <t>X-Value</t>
  </si>
  <si>
    <t>No reachable X-value assignment</t>
  </si>
  <si>
    <t>Parameter/Define usage</t>
  </si>
  <si>
    <t>Use parameter for bid-width and make use of it</t>
  </si>
  <si>
    <t>Use parameter for state and make use of it</t>
  </si>
  <si>
    <t xml:space="preserve">Use parameter/define for other appropriate cases </t>
  </si>
  <si>
    <t>Use header file to describe the module</t>
  </si>
  <si>
    <t>Coding style</t>
  </si>
  <si>
    <t>Do not use one big always block for many signals</t>
  </si>
  <si>
    <t>Test data</t>
  </si>
  <si>
    <t>Delay usage</t>
  </si>
  <si>
    <t>Use parameter to describe delay, do not use hard-coded delay number</t>
  </si>
  <si>
    <t>Racing problem</t>
  </si>
  <si>
    <t>Do not change value of signals when clock rises</t>
  </si>
  <si>
    <t>Do not rise clock at time 0</t>
  </si>
  <si>
    <t>Test cases</t>
  </si>
  <si>
    <t>Test cases should cover all (basic operations + corner cases) in specification AND your design</t>
  </si>
  <si>
    <t>Assign value</t>
  </si>
  <si>
    <t>Do not assign values to the same variable from more than two always/initial statements</t>
  </si>
  <si>
    <t>Date</t>
  </si>
  <si>
    <t>Version</t>
  </si>
  <si>
    <t>Modified item</t>
  </si>
  <si>
    <t>Modification objective</t>
  </si>
  <si>
    <t>cc03group4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</si>
</sst>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&quot;, &quot;yyyy"/>
  </numFmts>
  <fonts count="13">
    <font>
      <sz val="11"/>
      <name val="ＭＳ Ｐゴシック"/>
      <family val="2"/>
      <charset val="128"/>
    </font>
    <font>
      <sz val="12"/>
      <name val="Osaka"/>
      <family val="3"/>
      <charset val="128"/>
    </font>
    <font>
      <sz val="12"/>
      <name val="Arial"/>
      <family val="2"/>
      <charset val="1"/>
    </font>
    <font>
      <sz val="12"/>
      <color indexed="12"/>
      <name val="Arial"/>
      <family val="2"/>
      <charset val="1"/>
    </font>
    <font>
      <sz val="10"/>
      <name val="Arial"/>
      <family val="2"/>
    </font>
    <font>
      <sz val="10"/>
      <name val="ＭＳ Ｐゴシック"/>
      <family val="2"/>
      <charset val="128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10"/>
      <name val="Arial"/>
      <family val="2"/>
      <charset val="1"/>
    </font>
    <font>
      <sz val="10"/>
      <name val="Arial"/>
      <family val="2"/>
      <charset val="1"/>
    </font>
    <font>
      <sz val="8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6"/>
        <bgColor indexed="9"/>
      </patternFill>
    </fill>
    <fill>
      <patternFill patternType="solid">
        <fgColor indexed="27"/>
        <bgColor indexed="41"/>
      </patternFill>
    </fill>
    <fill>
      <patternFill patternType="solid">
        <fgColor rgb="FFFFFFCC"/>
        <bgColor indexed="41"/>
      </patternFill>
    </fill>
  </fills>
  <borders count="6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medium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double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/>
      <right/>
      <top style="double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medium">
        <color indexed="8"/>
      </right>
      <top style="double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 style="double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double">
        <color indexed="8"/>
      </top>
      <bottom style="medium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/>
      <right style="thin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8"/>
      </right>
      <top style="medium">
        <color indexed="8"/>
      </top>
      <bottom/>
      <diagonal/>
    </border>
    <border>
      <left/>
      <right/>
      <top style="double">
        <color indexed="8"/>
      </top>
      <bottom style="medium">
        <color indexed="8"/>
      </bottom>
      <diagonal/>
    </border>
    <border>
      <left/>
      <right style="thin">
        <color indexed="8"/>
      </right>
      <top style="double">
        <color indexed="8"/>
      </top>
      <bottom style="medium">
        <color indexed="8"/>
      </bottom>
      <diagonal/>
    </border>
  </borders>
  <cellStyleXfs count="2">
    <xf numFmtId="0" fontId="0" fillId="0" borderId="0"/>
    <xf numFmtId="0" fontId="1" fillId="0" borderId="0"/>
  </cellStyleXfs>
  <cellXfs count="209">
    <xf numFmtId="0" fontId="0" fillId="0" borderId="0" xfId="0"/>
    <xf numFmtId="0" fontId="2" fillId="0" borderId="0" xfId="0" applyFont="1"/>
    <xf numFmtId="164" fontId="2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 wrapText="1"/>
    </xf>
    <xf numFmtId="164" fontId="2" fillId="0" borderId="9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49" fontId="4" fillId="0" borderId="13" xfId="0" applyNumberFormat="1" applyFont="1" applyBorder="1" applyAlignment="1">
      <alignment vertical="center"/>
    </xf>
    <xf numFmtId="49" fontId="4" fillId="0" borderId="14" xfId="0" applyNumberFormat="1" applyFont="1" applyBorder="1" applyAlignment="1">
      <alignment vertical="center"/>
    </xf>
    <xf numFmtId="49" fontId="4" fillId="0" borderId="15" xfId="0" applyNumberFormat="1" applyFont="1" applyBorder="1" applyAlignment="1">
      <alignment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vertical="center"/>
    </xf>
    <xf numFmtId="0" fontId="4" fillId="3" borderId="25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right" vertical="center"/>
    </xf>
    <xf numFmtId="0" fontId="8" fillId="4" borderId="30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2" xfId="0" applyFont="1" applyFill="1" applyBorder="1" applyAlignment="1">
      <alignment horizontal="right" vertical="center"/>
    </xf>
    <xf numFmtId="0" fontId="4" fillId="4" borderId="33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4" fillId="4" borderId="34" xfId="0" applyFont="1" applyFill="1" applyBorder="1" applyAlignment="1">
      <alignment horizontal="left" vertical="center"/>
    </xf>
    <xf numFmtId="0" fontId="4" fillId="4" borderId="33" xfId="1" applyFont="1" applyFill="1" applyBorder="1" applyAlignment="1">
      <alignment horizontal="left" vertical="center"/>
    </xf>
    <xf numFmtId="0" fontId="4" fillId="4" borderId="35" xfId="1" applyFont="1" applyFill="1" applyBorder="1" applyAlignment="1">
      <alignment horizontal="left" vertical="center"/>
    </xf>
    <xf numFmtId="0" fontId="4" fillId="4" borderId="36" xfId="1" applyFont="1" applyFill="1" applyBorder="1" applyAlignment="1">
      <alignment horizontal="left" vertical="center"/>
    </xf>
    <xf numFmtId="0" fontId="8" fillId="4" borderId="37" xfId="0" applyFont="1" applyFill="1" applyBorder="1" applyAlignment="1">
      <alignment horizontal="center" vertical="center"/>
    </xf>
    <xf numFmtId="164" fontId="4" fillId="4" borderId="30" xfId="0" applyNumberFormat="1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/>
    </xf>
    <xf numFmtId="0" fontId="4" fillId="4" borderId="38" xfId="0" applyFont="1" applyFill="1" applyBorder="1" applyAlignment="1">
      <alignment horizontal="left" vertical="center"/>
    </xf>
    <xf numFmtId="0" fontId="8" fillId="4" borderId="3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6" xfId="0" applyFont="1" applyFill="1" applyBorder="1" applyAlignment="1">
      <alignment horizontal="right" vertical="center"/>
    </xf>
    <xf numFmtId="0" fontId="4" fillId="4" borderId="39" xfId="0" applyFont="1" applyFill="1" applyBorder="1" applyAlignment="1">
      <alignment horizontal="left" vertical="center"/>
    </xf>
    <xf numFmtId="0" fontId="4" fillId="4" borderId="40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39" xfId="1" applyFont="1" applyFill="1" applyBorder="1" applyAlignment="1">
      <alignment horizontal="left" vertical="center"/>
    </xf>
    <xf numFmtId="0" fontId="4" fillId="4" borderId="40" xfId="1" applyFont="1" applyFill="1" applyBorder="1" applyAlignment="1">
      <alignment horizontal="left" vertical="center"/>
    </xf>
    <xf numFmtId="0" fontId="4" fillId="4" borderId="7" xfId="1" applyFont="1" applyFill="1" applyBorder="1" applyAlignment="1">
      <alignment horizontal="left" vertical="center"/>
    </xf>
    <xf numFmtId="0" fontId="8" fillId="4" borderId="6" xfId="0" applyFont="1" applyFill="1" applyBorder="1" applyAlignment="1">
      <alignment horizontal="center" vertical="center"/>
    </xf>
    <xf numFmtId="164" fontId="4" fillId="4" borderId="39" xfId="0" applyNumberFormat="1" applyFont="1" applyFill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0" fontId="9" fillId="5" borderId="41" xfId="0" applyFont="1" applyFill="1" applyBorder="1" applyAlignment="1">
      <alignment horizontal="right" vertical="center"/>
    </xf>
    <xf numFmtId="0" fontId="9" fillId="5" borderId="30" xfId="0" applyFont="1" applyFill="1" applyBorder="1" applyAlignment="1">
      <alignment horizontal="left" vertical="center"/>
    </xf>
    <xf numFmtId="0" fontId="9" fillId="5" borderId="31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right" vertical="center"/>
    </xf>
    <xf numFmtId="0" fontId="9" fillId="5" borderId="39" xfId="0" applyFont="1" applyFill="1" applyBorder="1" applyAlignment="1">
      <alignment horizontal="left" vertical="center"/>
    </xf>
    <xf numFmtId="0" fontId="4" fillId="5" borderId="40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right" vertical="center"/>
    </xf>
    <xf numFmtId="0" fontId="9" fillId="5" borderId="39" xfId="1" applyFont="1" applyFill="1" applyBorder="1" applyAlignment="1">
      <alignment horizontal="left" vertical="center"/>
    </xf>
    <xf numFmtId="0" fontId="4" fillId="5" borderId="40" xfId="1" applyFont="1" applyFill="1" applyBorder="1" applyAlignment="1">
      <alignment horizontal="left" vertical="center"/>
    </xf>
    <xf numFmtId="0" fontId="4" fillId="5" borderId="7" xfId="1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164" fontId="4" fillId="5" borderId="39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0" fontId="9" fillId="5" borderId="29" xfId="0" applyFont="1" applyFill="1" applyBorder="1" applyAlignment="1">
      <alignment horizontal="right" vertical="center"/>
    </xf>
    <xf numFmtId="0" fontId="9" fillId="5" borderId="33" xfId="0" applyFont="1" applyFill="1" applyBorder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8" fillId="4" borderId="41" xfId="0" applyFont="1" applyFill="1" applyBorder="1" applyAlignment="1">
      <alignment horizontal="right" vertical="center"/>
    </xf>
    <xf numFmtId="0" fontId="4" fillId="4" borderId="0" xfId="1" applyFont="1" applyFill="1" applyAlignment="1">
      <alignment horizontal="left" vertical="center"/>
    </xf>
    <xf numFmtId="0" fontId="4" fillId="4" borderId="34" xfId="1" applyFont="1" applyFill="1" applyBorder="1" applyAlignment="1">
      <alignment horizontal="left" vertical="center"/>
    </xf>
    <xf numFmtId="0" fontId="8" fillId="4" borderId="32" xfId="0" applyFont="1" applyFill="1" applyBorder="1" applyAlignment="1">
      <alignment horizontal="center" vertical="center"/>
    </xf>
    <xf numFmtId="164" fontId="4" fillId="4" borderId="30" xfId="0" applyNumberFormat="1" applyFont="1" applyFill="1" applyBorder="1" applyAlignment="1">
      <alignment horizontal="center" vertical="center"/>
    </xf>
    <xf numFmtId="0" fontId="9" fillId="4" borderId="42" xfId="0" applyFont="1" applyFill="1" applyBorder="1" applyAlignment="1">
      <alignment horizontal="left" vertical="center"/>
    </xf>
    <xf numFmtId="0" fontId="9" fillId="4" borderId="43" xfId="0" applyFont="1" applyFill="1" applyBorder="1" applyAlignment="1">
      <alignment horizontal="right" vertical="center"/>
    </xf>
    <xf numFmtId="0" fontId="9" fillId="4" borderId="30" xfId="0" applyFont="1" applyFill="1" applyBorder="1" applyAlignment="1">
      <alignment horizontal="left" vertical="center"/>
    </xf>
    <xf numFmtId="0" fontId="9" fillId="4" borderId="31" xfId="0" applyFont="1" applyFill="1" applyBorder="1" applyAlignment="1">
      <alignment horizontal="left" vertical="center"/>
    </xf>
    <xf numFmtId="0" fontId="9" fillId="4" borderId="44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right" vertical="center"/>
    </xf>
    <xf numFmtId="0" fontId="9" fillId="4" borderId="39" xfId="1" applyFont="1" applyFill="1" applyBorder="1" applyAlignment="1">
      <alignment horizontal="left" vertical="center"/>
    </xf>
    <xf numFmtId="0" fontId="9" fillId="4" borderId="8" xfId="0" applyFont="1" applyFill="1" applyBorder="1" applyAlignment="1">
      <alignment horizontal="left" vertical="center"/>
    </xf>
    <xf numFmtId="0" fontId="8" fillId="4" borderId="43" xfId="0" applyFont="1" applyFill="1" applyBorder="1" applyAlignment="1">
      <alignment horizontal="right" vertical="center"/>
    </xf>
    <xf numFmtId="0" fontId="4" fillId="4" borderId="30" xfId="0" applyFont="1" applyFill="1" applyBorder="1" applyAlignment="1">
      <alignment horizontal="left" vertical="center"/>
    </xf>
    <xf numFmtId="0" fontId="4" fillId="4" borderId="31" xfId="0" applyFont="1" applyFill="1" applyBorder="1" applyAlignment="1">
      <alignment horizontal="left" vertical="center"/>
    </xf>
    <xf numFmtId="0" fontId="4" fillId="4" borderId="44" xfId="0" applyFont="1" applyFill="1" applyBorder="1" applyAlignment="1">
      <alignment horizontal="left" vertical="center"/>
    </xf>
    <xf numFmtId="0" fontId="4" fillId="4" borderId="30" xfId="1" applyFont="1" applyFill="1" applyBorder="1" applyAlignment="1">
      <alignment horizontal="left" vertical="center"/>
    </xf>
    <xf numFmtId="0" fontId="4" fillId="4" borderId="31" xfId="1" applyFont="1" applyFill="1" applyBorder="1" applyAlignment="1">
      <alignment horizontal="left" vertical="center"/>
    </xf>
    <xf numFmtId="0" fontId="4" fillId="4" borderId="44" xfId="1" applyFont="1" applyFill="1" applyBorder="1" applyAlignment="1">
      <alignment horizontal="left" vertical="center"/>
    </xf>
    <xf numFmtId="0" fontId="8" fillId="4" borderId="43" xfId="0" applyFont="1" applyFill="1" applyBorder="1" applyAlignment="1">
      <alignment horizontal="center" vertical="center"/>
    </xf>
    <xf numFmtId="0" fontId="9" fillId="4" borderId="45" xfId="0" applyFont="1" applyFill="1" applyBorder="1" applyAlignment="1">
      <alignment horizontal="left" vertical="center"/>
    </xf>
    <xf numFmtId="0" fontId="4" fillId="2" borderId="46" xfId="0" applyFont="1" applyFill="1" applyBorder="1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9" fillId="4" borderId="32" xfId="0" applyFont="1" applyFill="1" applyBorder="1" applyAlignment="1">
      <alignment horizontal="right" vertical="center"/>
    </xf>
    <xf numFmtId="0" fontId="9" fillId="4" borderId="33" xfId="0" applyFont="1" applyFill="1" applyBorder="1" applyAlignment="1">
      <alignment horizontal="left" vertical="center"/>
    </xf>
    <xf numFmtId="0" fontId="8" fillId="4" borderId="37" xfId="0" applyFont="1" applyFill="1" applyBorder="1" applyAlignment="1">
      <alignment horizontal="right" vertical="center"/>
    </xf>
    <xf numFmtId="0" fontId="9" fillId="4" borderId="48" xfId="1" applyFont="1" applyFill="1" applyBorder="1" applyAlignment="1">
      <alignment horizontal="left" vertical="center"/>
    </xf>
    <xf numFmtId="0" fontId="10" fillId="4" borderId="39" xfId="0" applyFont="1" applyFill="1" applyBorder="1" applyAlignment="1">
      <alignment horizontal="left" vertical="center"/>
    </xf>
    <xf numFmtId="0" fontId="8" fillId="5" borderId="41" xfId="0" applyFont="1" applyFill="1" applyBorder="1" applyAlignment="1">
      <alignment horizontal="right" vertical="center"/>
    </xf>
    <xf numFmtId="0" fontId="8" fillId="5" borderId="30" xfId="0" applyFont="1" applyFill="1" applyBorder="1" applyAlignment="1">
      <alignment horizontal="left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right" vertical="center"/>
    </xf>
    <xf numFmtId="0" fontId="4" fillId="5" borderId="33" xfId="0" applyFont="1" applyFill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4" fillId="5" borderId="34" xfId="0" applyFont="1" applyFill="1" applyBorder="1" applyAlignment="1">
      <alignment horizontal="left" vertical="center"/>
    </xf>
    <xf numFmtId="0" fontId="4" fillId="5" borderId="33" xfId="1" applyFont="1" applyFill="1" applyBorder="1" applyAlignment="1">
      <alignment horizontal="left" vertical="center"/>
    </xf>
    <xf numFmtId="0" fontId="4" fillId="5" borderId="0" xfId="1" applyFont="1" applyFill="1" applyAlignment="1">
      <alignment horizontal="left" vertical="center"/>
    </xf>
    <xf numFmtId="0" fontId="4" fillId="5" borderId="34" xfId="1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center" vertical="center"/>
    </xf>
    <xf numFmtId="164" fontId="4" fillId="5" borderId="30" xfId="0" applyNumberFormat="1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 vertical="center"/>
    </xf>
    <xf numFmtId="0" fontId="4" fillId="5" borderId="42" xfId="0" applyFont="1" applyFill="1" applyBorder="1" applyAlignment="1">
      <alignment horizontal="left" vertical="center"/>
    </xf>
    <xf numFmtId="0" fontId="8" fillId="5" borderId="29" xfId="0" applyFont="1" applyFill="1" applyBorder="1" applyAlignment="1">
      <alignment horizontal="right" vertical="center"/>
    </xf>
    <xf numFmtId="0" fontId="8" fillId="5" borderId="33" xfId="0" applyFont="1" applyFill="1" applyBorder="1" applyAlignment="1">
      <alignment horizontal="left" vertical="center"/>
    </xf>
    <xf numFmtId="0" fontId="8" fillId="5" borderId="0" xfId="0" applyFont="1" applyFill="1" applyAlignment="1">
      <alignment horizontal="left" vertical="center"/>
    </xf>
    <xf numFmtId="0" fontId="4" fillId="5" borderId="39" xfId="0" applyFont="1" applyFill="1" applyBorder="1" applyAlignment="1">
      <alignment horizontal="left" vertical="center"/>
    </xf>
    <xf numFmtId="0" fontId="4" fillId="5" borderId="39" xfId="1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9" fillId="5" borderId="40" xfId="0" applyFont="1" applyFill="1" applyBorder="1" applyAlignment="1">
      <alignment horizontal="left" vertical="center"/>
    </xf>
    <xf numFmtId="0" fontId="9" fillId="5" borderId="7" xfId="0" applyFont="1" applyFill="1" applyBorder="1" applyAlignment="1">
      <alignment horizontal="left" vertical="center"/>
    </xf>
    <xf numFmtId="0" fontId="9" fillId="5" borderId="49" xfId="0" applyFont="1" applyFill="1" applyBorder="1" applyAlignment="1">
      <alignment horizontal="right" vertical="center"/>
    </xf>
    <xf numFmtId="0" fontId="9" fillId="5" borderId="50" xfId="1" applyFont="1" applyFill="1" applyBorder="1" applyAlignment="1">
      <alignment horizontal="left" vertical="center"/>
    </xf>
    <xf numFmtId="0" fontId="4" fillId="5" borderId="51" xfId="1" applyFont="1" applyFill="1" applyBorder="1" applyAlignment="1">
      <alignment horizontal="left" vertical="center"/>
    </xf>
    <xf numFmtId="0" fontId="4" fillId="5" borderId="52" xfId="1" applyFont="1" applyFill="1" applyBorder="1" applyAlignment="1">
      <alignment horizontal="left" vertical="center"/>
    </xf>
    <xf numFmtId="0" fontId="8" fillId="5" borderId="49" xfId="0" applyFont="1" applyFill="1" applyBorder="1" applyAlignment="1">
      <alignment horizontal="center" vertical="center"/>
    </xf>
    <xf numFmtId="0" fontId="4" fillId="5" borderId="53" xfId="0" applyFont="1" applyFill="1" applyBorder="1" applyAlignment="1">
      <alignment horizontal="left" vertical="center"/>
    </xf>
    <xf numFmtId="0" fontId="4" fillId="4" borderId="51" xfId="0" applyFont="1" applyFill="1" applyBorder="1" applyAlignment="1">
      <alignment horizontal="left" vertical="center"/>
    </xf>
    <xf numFmtId="0" fontId="4" fillId="4" borderId="52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9" fillId="4" borderId="40" xfId="0" applyFont="1" applyFill="1" applyBorder="1" applyAlignment="1">
      <alignment horizontal="left" vertical="center"/>
    </xf>
    <xf numFmtId="0" fontId="9" fillId="4" borderId="7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9" fillId="5" borderId="43" xfId="0" applyFont="1" applyFill="1" applyBorder="1" applyAlignment="1">
      <alignment horizontal="right" vertical="center"/>
    </xf>
    <xf numFmtId="0" fontId="9" fillId="5" borderId="44" xfId="0" applyFont="1" applyFill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center"/>
    </xf>
    <xf numFmtId="0" fontId="9" fillId="5" borderId="32" xfId="0" applyFont="1" applyFill="1" applyBorder="1" applyAlignment="1">
      <alignment horizontal="right" vertical="center"/>
    </xf>
    <xf numFmtId="0" fontId="9" fillId="5" borderId="34" xfId="0" applyFont="1" applyFill="1" applyBorder="1" applyAlignment="1">
      <alignment horizontal="left" vertical="center"/>
    </xf>
    <xf numFmtId="0" fontId="9" fillId="5" borderId="30" xfId="1" applyFont="1" applyFill="1" applyBorder="1" applyAlignment="1">
      <alignment horizontal="left" vertical="center"/>
    </xf>
    <xf numFmtId="0" fontId="4" fillId="5" borderId="31" xfId="1" applyFont="1" applyFill="1" applyBorder="1" applyAlignment="1">
      <alignment horizontal="left" vertical="center"/>
    </xf>
    <xf numFmtId="0" fontId="4" fillId="5" borderId="44" xfId="1" applyFont="1" applyFill="1" applyBorder="1" applyAlignment="1">
      <alignment horizontal="left" vertical="center"/>
    </xf>
    <xf numFmtId="0" fontId="8" fillId="5" borderId="43" xfId="0" applyFont="1" applyFill="1" applyBorder="1" applyAlignment="1">
      <alignment horizontal="center" vertical="center"/>
    </xf>
    <xf numFmtId="0" fontId="9" fillId="5" borderId="45" xfId="0" applyFont="1" applyFill="1" applyBorder="1" applyAlignment="1">
      <alignment horizontal="left" vertical="center"/>
    </xf>
    <xf numFmtId="0" fontId="8" fillId="5" borderId="43" xfId="0" applyFont="1" applyFill="1" applyBorder="1" applyAlignment="1">
      <alignment horizontal="right" vertical="center"/>
    </xf>
    <xf numFmtId="0" fontId="4" fillId="5" borderId="30" xfId="0" applyFont="1" applyFill="1" applyBorder="1" applyAlignment="1">
      <alignment horizontal="left" vertical="center"/>
    </xf>
    <xf numFmtId="0" fontId="4" fillId="5" borderId="31" xfId="0" applyFont="1" applyFill="1" applyBorder="1" applyAlignment="1">
      <alignment horizontal="left" vertical="center"/>
    </xf>
    <xf numFmtId="0" fontId="4" fillId="5" borderId="44" xfId="0" applyFont="1" applyFill="1" applyBorder="1" applyAlignment="1">
      <alignment horizontal="left" vertical="center"/>
    </xf>
    <xf numFmtId="0" fontId="11" fillId="4" borderId="39" xfId="1" applyFont="1" applyFill="1" applyBorder="1" applyAlignment="1">
      <alignment horizontal="left" vertical="center"/>
    </xf>
    <xf numFmtId="0" fontId="9" fillId="4" borderId="41" xfId="0" applyFont="1" applyFill="1" applyBorder="1" applyAlignment="1">
      <alignment horizontal="right" vertical="center"/>
    </xf>
    <xf numFmtId="0" fontId="9" fillId="4" borderId="29" xfId="0" applyFont="1" applyFill="1" applyBorder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4" borderId="34" xfId="0" applyFont="1" applyFill="1" applyBorder="1" applyAlignment="1">
      <alignment horizontal="left" vertical="center"/>
    </xf>
    <xf numFmtId="0" fontId="10" fillId="4" borderId="39" xfId="1" applyFont="1" applyFill="1" applyBorder="1" applyAlignment="1">
      <alignment horizontal="left" vertical="center"/>
    </xf>
    <xf numFmtId="0" fontId="8" fillId="4" borderId="39" xfId="1" applyFont="1" applyFill="1" applyBorder="1" applyAlignment="1">
      <alignment horizontal="left" vertical="center"/>
    </xf>
    <xf numFmtId="0" fontId="9" fillId="4" borderId="49" xfId="0" applyFont="1" applyFill="1" applyBorder="1" applyAlignment="1">
      <alignment horizontal="right" vertical="center"/>
    </xf>
    <xf numFmtId="0" fontId="9" fillId="4" borderId="50" xfId="0" applyFont="1" applyFill="1" applyBorder="1" applyAlignment="1">
      <alignment horizontal="left" vertical="center"/>
    </xf>
    <xf numFmtId="0" fontId="9" fillId="4" borderId="51" xfId="0" applyFont="1" applyFill="1" applyBorder="1" applyAlignment="1">
      <alignment horizontal="left" vertical="center"/>
    </xf>
    <xf numFmtId="0" fontId="9" fillId="4" borderId="52" xfId="0" applyFont="1" applyFill="1" applyBorder="1" applyAlignment="1">
      <alignment horizontal="left" vertical="center"/>
    </xf>
    <xf numFmtId="0" fontId="8" fillId="4" borderId="49" xfId="0" applyFont="1" applyFill="1" applyBorder="1" applyAlignment="1">
      <alignment horizontal="right" vertical="center"/>
    </xf>
    <xf numFmtId="0" fontId="4" fillId="4" borderId="50" xfId="0" applyFont="1" applyFill="1" applyBorder="1" applyAlignment="1">
      <alignment horizontal="left" vertical="center"/>
    </xf>
    <xf numFmtId="0" fontId="8" fillId="5" borderId="37" xfId="0" applyFont="1" applyFill="1" applyBorder="1" applyAlignment="1">
      <alignment horizontal="center" vertical="center"/>
    </xf>
    <xf numFmtId="164" fontId="4" fillId="5" borderId="30" xfId="0" applyNumberFormat="1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left" vertical="center"/>
    </xf>
    <xf numFmtId="0" fontId="4" fillId="5" borderId="30" xfId="1" applyFont="1" applyFill="1" applyBorder="1" applyAlignment="1">
      <alignment horizontal="left" vertical="center"/>
    </xf>
    <xf numFmtId="0" fontId="9" fillId="5" borderId="50" xfId="0" applyFont="1" applyFill="1" applyBorder="1" applyAlignment="1">
      <alignment horizontal="left" vertical="center"/>
    </xf>
    <xf numFmtId="0" fontId="9" fillId="5" borderId="51" xfId="0" applyFont="1" applyFill="1" applyBorder="1" applyAlignment="1">
      <alignment horizontal="left" vertical="center"/>
    </xf>
    <xf numFmtId="0" fontId="9" fillId="5" borderId="52" xfId="0" applyFont="1" applyFill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4" fillId="4" borderId="43" xfId="0" applyFont="1" applyFill="1" applyBorder="1" applyAlignment="1">
      <alignment horizontal="right" vertical="center"/>
    </xf>
    <xf numFmtId="0" fontId="4" fillId="4" borderId="6" xfId="0" applyFont="1" applyFill="1" applyBorder="1" applyAlignment="1">
      <alignment horizontal="right" vertical="center"/>
    </xf>
    <xf numFmtId="0" fontId="4" fillId="4" borderId="49" xfId="0" applyFont="1" applyFill="1" applyBorder="1" applyAlignment="1">
      <alignment horizontal="right" vertical="center"/>
    </xf>
    <xf numFmtId="0" fontId="7" fillId="2" borderId="56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6" fillId="2" borderId="55" xfId="0" applyFont="1" applyFill="1" applyBorder="1" applyAlignment="1">
      <alignment horizontal="center" vertical="center"/>
    </xf>
    <xf numFmtId="0" fontId="0" fillId="0" borderId="60" xfId="0" applyBorder="1"/>
    <xf numFmtId="0" fontId="6" fillId="2" borderId="16" xfId="0" applyFont="1" applyFill="1" applyBorder="1" applyAlignment="1">
      <alignment horizontal="center" vertical="center"/>
    </xf>
    <xf numFmtId="0" fontId="0" fillId="0" borderId="61" xfId="0" applyBorder="1"/>
    <xf numFmtId="0" fontId="6" fillId="2" borderId="54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14" xfId="0" applyBorder="1"/>
    <xf numFmtId="0" fontId="7" fillId="2" borderId="57" xfId="0" applyFont="1" applyFill="1" applyBorder="1" applyAlignment="1">
      <alignment horizontal="center" vertical="center"/>
    </xf>
    <xf numFmtId="0" fontId="0" fillId="0" borderId="62" xfId="0" applyBorder="1"/>
    <xf numFmtId="0" fontId="0" fillId="0" borderId="63" xfId="0" applyBorder="1"/>
    <xf numFmtId="0" fontId="4" fillId="4" borderId="22" xfId="1" applyFont="1" applyFill="1" applyBorder="1" applyAlignment="1">
      <alignment horizontal="left" vertical="center" wrapText="1"/>
    </xf>
    <xf numFmtId="0" fontId="0" fillId="0" borderId="58" xfId="0" applyBorder="1"/>
    <xf numFmtId="0" fontId="0" fillId="0" borderId="59" xfId="0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64" fontId="4" fillId="4" borderId="39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/>
    </xf>
    <xf numFmtId="164" fontId="4" fillId="5" borderId="39" xfId="0" applyNumberFormat="1" applyFont="1" applyFill="1" applyBorder="1" applyAlignment="1">
      <alignment horizontal="center" vertical="center"/>
    </xf>
    <xf numFmtId="164" fontId="4" fillId="4" borderId="6" xfId="0" applyNumberFormat="1" applyFont="1" applyFill="1" applyBorder="1" applyAlignment="1">
      <alignment horizontal="center" vertical="center"/>
    </xf>
    <xf numFmtId="0" fontId="8" fillId="6" borderId="37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64" fontId="4" fillId="5" borderId="6" xfId="0" applyNumberFormat="1" applyFont="1" applyFill="1" applyBorder="1" applyAlignment="1">
      <alignment horizontal="center" vertical="center"/>
    </xf>
  </cellXfs>
  <cellStyles count="2">
    <cellStyle name="Normal" xfId="0" builtinId="0"/>
    <cellStyle name="伀ÿ?????????????" xfId="1" xr:uid="{00000000-0005-0000-0000-00000100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B1:G13"/>
  <sheetViews>
    <sheetView zoomScale="80" zoomScaleNormal="80" workbookViewId="0">
      <selection activeCell="I16" sqref="I16"/>
    </sheetView>
  </sheetViews>
  <sheetFormatPr defaultColWidth="11.625" defaultRowHeight="15"/>
  <cols>
    <col min="1" max="1" width="1.75" style="1" customWidth="1"/>
    <col min="2" max="2" width="15.375" style="1" customWidth="1"/>
    <col min="3" max="3" width="10.5" style="1" customWidth="1"/>
    <col min="4" max="4" width="20.75" style="1" customWidth="1"/>
    <col min="5" max="5" width="28.625" style="1" customWidth="1"/>
    <col min="6" max="6" width="16.5" style="1" customWidth="1"/>
    <col min="7" max="7" width="16.875" style="1" customWidth="1"/>
    <col min="8" max="8" width="11.625" style="1" customWidth="1"/>
    <col min="9" max="16384" width="11.625" style="1"/>
  </cols>
  <sheetData>
    <row r="1" spans="2:7" ht="15.75" thickBot="1"/>
    <row r="2" spans="2:7" ht="36" customHeight="1">
      <c r="B2" s="197" t="s">
        <v>166</v>
      </c>
      <c r="C2" s="198" t="s">
        <v>167</v>
      </c>
      <c r="D2" s="199" t="s">
        <v>168</v>
      </c>
      <c r="E2" s="199" t="s">
        <v>169</v>
      </c>
      <c r="F2" s="199" t="s">
        <v>9</v>
      </c>
      <c r="G2" s="200" t="s">
        <v>10</v>
      </c>
    </row>
    <row r="3" spans="2:7">
      <c r="B3" s="2">
        <v>39520</v>
      </c>
      <c r="C3" s="3" t="s">
        <v>40</v>
      </c>
      <c r="D3" s="4"/>
      <c r="E3" s="5" t="s">
        <v>41</v>
      </c>
      <c r="F3" s="6" t="s">
        <v>170</v>
      </c>
      <c r="G3" s="7" t="s">
        <v>42</v>
      </c>
    </row>
    <row r="4" spans="2:7">
      <c r="B4" s="8"/>
      <c r="C4" s="3"/>
      <c r="D4" s="4"/>
      <c r="E4" s="4"/>
      <c r="F4" s="6"/>
      <c r="G4" s="7"/>
    </row>
    <row r="5" spans="2:7">
      <c r="B5" s="8"/>
      <c r="C5" s="3"/>
      <c r="D5" s="4"/>
      <c r="E5" s="4"/>
      <c r="F5" s="4"/>
      <c r="G5" s="7"/>
    </row>
    <row r="6" spans="2:7">
      <c r="B6" s="8"/>
      <c r="C6" s="3"/>
      <c r="D6" s="4"/>
      <c r="E6" s="4"/>
      <c r="F6" s="4"/>
      <c r="G6" s="7"/>
    </row>
    <row r="7" spans="2:7">
      <c r="B7" s="8"/>
      <c r="C7" s="3"/>
      <c r="D7" s="4"/>
      <c r="E7" s="4"/>
      <c r="F7" s="4"/>
      <c r="G7" s="7"/>
    </row>
    <row r="8" spans="2:7">
      <c r="B8" s="8"/>
      <c r="C8" s="3"/>
      <c r="D8" s="4"/>
      <c r="E8" s="4"/>
      <c r="F8" s="4"/>
      <c r="G8" s="7"/>
    </row>
    <row r="9" spans="2:7">
      <c r="B9" s="8"/>
      <c r="C9" s="3"/>
      <c r="D9" s="4"/>
      <c r="E9" s="4"/>
      <c r="F9" s="4"/>
      <c r="G9" s="7"/>
    </row>
    <row r="10" spans="2:7">
      <c r="B10" s="8"/>
      <c r="C10" s="3"/>
      <c r="D10" s="4"/>
      <c r="E10" s="4"/>
      <c r="F10" s="4"/>
      <c r="G10" s="7"/>
    </row>
    <row r="11" spans="2:7">
      <c r="B11" s="8"/>
      <c r="C11" s="3"/>
      <c r="D11" s="4"/>
      <c r="E11" s="4"/>
      <c r="F11" s="4"/>
      <c r="G11" s="7"/>
    </row>
    <row r="12" spans="2:7">
      <c r="B12" s="8"/>
      <c r="C12" s="3"/>
      <c r="D12" s="4"/>
      <c r="E12" s="4"/>
      <c r="F12" s="4"/>
      <c r="G12" s="7"/>
    </row>
    <row r="13" spans="2:7">
      <c r="B13" s="9"/>
      <c r="C13" s="10"/>
      <c r="D13" s="11"/>
      <c r="E13" s="11"/>
      <c r="F13" s="11"/>
      <c r="G13" s="12"/>
    </row>
  </sheetData>
  <pageMargins left="0.78749999999999998" right="0.78749999999999998" top="1.052777777777778" bottom="1.052777777777778" header="0.78749999999999998" footer="0.78749999999999998"/>
  <pageSetup paperSize="9" firstPageNumber="0" orientation="landscape" horizontalDpi="300" verticalDpi="300"/>
  <headerFooter alignWithMargins="0">
    <oddHeader>&amp;C&amp;"Times New Roman,Regular"&amp;12 &amp;A</oddHeader>
    <oddFooter>&amp;C&amp;"Times New Roman,Regular"&amp;12 Page 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V18"/>
  <sheetViews>
    <sheetView zoomScale="80" zoomScaleNormal="80" workbookViewId="0">
      <selection activeCell="Q14" sqref="Q14"/>
    </sheetView>
  </sheetViews>
  <sheetFormatPr defaultRowHeight="12.75"/>
  <cols>
    <col min="1" max="1" width="2.375" style="13" customWidth="1"/>
    <col min="2" max="2" width="3.375" style="14" customWidth="1"/>
    <col min="3" max="3" width="10.625" style="14" customWidth="1"/>
    <col min="4" max="5" width="1.875" style="14" customWidth="1"/>
    <col min="6" max="6" width="3.375" style="14" customWidth="1"/>
    <col min="7" max="7" width="10.625" style="15" customWidth="1"/>
    <col min="8" max="8" width="11.125" style="15" customWidth="1"/>
    <col min="9" max="9" width="2.875" style="15" customWidth="1"/>
    <col min="10" max="10" width="3.375" style="14" customWidth="1"/>
    <col min="11" max="11" width="17.875" style="13" customWidth="1"/>
    <col min="12" max="12" width="8.875" style="15" customWidth="1"/>
    <col min="13" max="13" width="45.125" style="15" customWidth="1"/>
    <col min="14" max="14" width="12.25" style="14" customWidth="1"/>
    <col min="15" max="15" width="10.375" style="14" customWidth="1"/>
    <col min="16" max="16" width="16.75" style="13" customWidth="1"/>
    <col min="17" max="17" width="14.5" style="13" customWidth="1"/>
    <col min="18" max="18" width="29.75" style="14" customWidth="1"/>
    <col min="19" max="249" width="9" style="13" customWidth="1"/>
    <col min="250" max="250" width="9" style="16" customWidth="1"/>
    <col min="251" max="16384" width="9" style="16"/>
  </cols>
  <sheetData>
    <row r="1" spans="2:256" ht="13.5">
      <c r="F1" t="s">
        <v>0</v>
      </c>
    </row>
    <row r="2" spans="2:256" ht="19.5" customHeight="1">
      <c r="B2" s="189" t="s">
        <v>1</v>
      </c>
      <c r="C2" s="190"/>
      <c r="D2" s="190"/>
      <c r="E2" s="190"/>
      <c r="F2" s="17" t="s">
        <v>2</v>
      </c>
      <c r="G2" s="18"/>
      <c r="H2" s="18"/>
      <c r="I2" s="19"/>
      <c r="J2" s="13"/>
      <c r="L2" s="13"/>
      <c r="M2" s="13"/>
      <c r="N2" s="13"/>
      <c r="O2" s="13"/>
      <c r="R2" s="13"/>
    </row>
    <row r="3" spans="2:256" ht="22.35" customHeight="1">
      <c r="B3" s="188" t="s">
        <v>3</v>
      </c>
      <c r="C3" s="185"/>
      <c r="D3" s="185"/>
      <c r="E3" s="185"/>
      <c r="F3" s="184" t="s">
        <v>4</v>
      </c>
      <c r="G3" s="185"/>
      <c r="H3" s="185"/>
      <c r="I3" s="185"/>
      <c r="J3" s="186" t="s">
        <v>5</v>
      </c>
      <c r="K3" s="185"/>
      <c r="L3" s="185"/>
      <c r="M3" s="187"/>
      <c r="N3" s="21" t="s">
        <v>6</v>
      </c>
      <c r="O3" s="21" t="s">
        <v>7</v>
      </c>
      <c r="P3" s="20" t="s">
        <v>8</v>
      </c>
      <c r="Q3" s="20" t="s">
        <v>9</v>
      </c>
      <c r="R3" s="22" t="s">
        <v>10</v>
      </c>
    </row>
    <row r="4" spans="2:256">
      <c r="B4" s="23" t="s">
        <v>11</v>
      </c>
      <c r="C4" s="24"/>
      <c r="D4" s="25"/>
      <c r="E4" s="26"/>
      <c r="F4" s="27" t="s">
        <v>11</v>
      </c>
      <c r="G4" s="24"/>
      <c r="H4" s="25"/>
      <c r="I4" s="26"/>
      <c r="J4" s="27" t="s">
        <v>11</v>
      </c>
      <c r="K4" s="28"/>
      <c r="L4" s="25"/>
      <c r="M4" s="25"/>
      <c r="N4" s="29" t="s">
        <v>12</v>
      </c>
      <c r="O4" s="29" t="s">
        <v>13</v>
      </c>
      <c r="P4" s="29"/>
      <c r="Q4" s="29"/>
      <c r="R4" s="30"/>
    </row>
    <row r="5" spans="2:256" ht="13.5">
      <c r="B5" s="181" t="s">
        <v>14</v>
      </c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3"/>
      <c r="N5" s="31">
        <f>COUNTIF(N6:N13,"Y")</f>
        <v>8</v>
      </c>
      <c r="O5" s="32">
        <f>COUNTIF(O6:O13,"OK")</f>
        <v>8</v>
      </c>
      <c r="P5" s="33"/>
      <c r="Q5" s="33"/>
      <c r="R5" s="34"/>
    </row>
    <row r="6" spans="2:256" s="13" customFormat="1" ht="27.4" customHeight="1">
      <c r="B6" s="35">
        <v>1</v>
      </c>
      <c r="C6" s="36" t="s">
        <v>31</v>
      </c>
      <c r="D6" s="37"/>
      <c r="E6" s="37"/>
      <c r="F6" s="38">
        <v>1</v>
      </c>
      <c r="G6" s="39" t="s">
        <v>43</v>
      </c>
      <c r="H6" s="40"/>
      <c r="I6" s="41"/>
      <c r="J6" s="38">
        <v>1</v>
      </c>
      <c r="K6" s="42" t="s">
        <v>44</v>
      </c>
      <c r="L6" s="43"/>
      <c r="M6" s="44"/>
      <c r="N6" s="45" t="s">
        <v>45</v>
      </c>
      <c r="O6" s="45" t="s">
        <v>46</v>
      </c>
      <c r="P6" s="46" t="s">
        <v>19</v>
      </c>
      <c r="Q6" s="47" t="s">
        <v>170</v>
      </c>
      <c r="R6" s="48" t="s">
        <v>47</v>
      </c>
      <c r="IP6" s="16"/>
      <c r="IQ6" s="16"/>
      <c r="IR6" s="16"/>
      <c r="IS6" s="16"/>
      <c r="IT6" s="16"/>
      <c r="IU6" s="16"/>
      <c r="IV6" s="16"/>
    </row>
    <row r="7" spans="2:256" s="13" customFormat="1" ht="21.6" customHeight="1">
      <c r="B7" s="35"/>
      <c r="C7" s="49"/>
      <c r="D7" s="50"/>
      <c r="E7" s="50"/>
      <c r="F7" s="51">
        <v>2</v>
      </c>
      <c r="G7" s="52" t="s">
        <v>48</v>
      </c>
      <c r="H7" s="53"/>
      <c r="I7" s="54"/>
      <c r="J7" s="51">
        <v>1</v>
      </c>
      <c r="K7" s="55" t="s">
        <v>49</v>
      </c>
      <c r="L7" s="56"/>
      <c r="M7" s="57"/>
      <c r="N7" s="58" t="s">
        <v>45</v>
      </c>
      <c r="O7" s="58" t="s">
        <v>46</v>
      </c>
      <c r="P7" s="59" t="s">
        <v>19</v>
      </c>
      <c r="Q7" s="60" t="s">
        <v>170</v>
      </c>
      <c r="R7" s="61"/>
      <c r="IP7" s="16"/>
      <c r="IQ7" s="16"/>
      <c r="IR7" s="16"/>
      <c r="IS7" s="16"/>
      <c r="IT7" s="16"/>
      <c r="IU7" s="16"/>
      <c r="IV7" s="16"/>
    </row>
    <row r="8" spans="2:256" ht="21.6" customHeight="1">
      <c r="B8" s="62">
        <v>2</v>
      </c>
      <c r="C8" s="63" t="s">
        <v>50</v>
      </c>
      <c r="D8" s="64"/>
      <c r="E8" s="64"/>
      <c r="F8" s="65">
        <v>1</v>
      </c>
      <c r="G8" s="66" t="s">
        <v>51</v>
      </c>
      <c r="H8" s="67"/>
      <c r="I8" s="68"/>
      <c r="J8" s="69">
        <v>1</v>
      </c>
      <c r="K8" s="70" t="s">
        <v>52</v>
      </c>
      <c r="L8" s="71"/>
      <c r="M8" s="72"/>
      <c r="N8" s="73" t="s">
        <v>45</v>
      </c>
      <c r="O8" s="73" t="s">
        <v>46</v>
      </c>
      <c r="P8" s="74" t="s">
        <v>19</v>
      </c>
      <c r="Q8" s="75" t="s">
        <v>170</v>
      </c>
      <c r="R8" s="76"/>
    </row>
    <row r="9" spans="2:256" ht="21.6" customHeight="1">
      <c r="B9" s="77"/>
      <c r="C9" s="78"/>
      <c r="D9" s="79"/>
      <c r="E9" s="79"/>
      <c r="F9" s="65">
        <v>2</v>
      </c>
      <c r="G9" s="66" t="s">
        <v>53</v>
      </c>
      <c r="H9" s="67"/>
      <c r="I9" s="68"/>
      <c r="J9" s="69">
        <v>1</v>
      </c>
      <c r="K9" s="70" t="s">
        <v>54</v>
      </c>
      <c r="L9" s="71"/>
      <c r="M9" s="72"/>
      <c r="N9" s="73" t="s">
        <v>45</v>
      </c>
      <c r="O9" s="73" t="s">
        <v>46</v>
      </c>
      <c r="P9" s="74" t="s">
        <v>19</v>
      </c>
      <c r="Q9" s="75" t="s">
        <v>170</v>
      </c>
      <c r="R9" s="76"/>
    </row>
    <row r="10" spans="2:256" ht="21.6" customHeight="1">
      <c r="B10" s="80">
        <v>3</v>
      </c>
      <c r="C10" s="36" t="s">
        <v>55</v>
      </c>
      <c r="D10" s="37"/>
      <c r="E10" s="37"/>
      <c r="F10" s="38">
        <v>1</v>
      </c>
      <c r="G10" s="39" t="s">
        <v>56</v>
      </c>
      <c r="H10" s="40"/>
      <c r="I10" s="41"/>
      <c r="J10" s="38">
        <v>1</v>
      </c>
      <c r="K10" s="42" t="s">
        <v>57</v>
      </c>
      <c r="L10" s="81"/>
      <c r="M10" s="82"/>
      <c r="N10" s="83" t="s">
        <v>45</v>
      </c>
      <c r="O10" s="83" t="s">
        <v>46</v>
      </c>
      <c r="P10" s="84" t="s">
        <v>19</v>
      </c>
      <c r="Q10" s="47" t="s">
        <v>170</v>
      </c>
      <c r="R10" s="85"/>
    </row>
    <row r="11" spans="2:256" ht="21.6" customHeight="1">
      <c r="B11" s="35"/>
      <c r="C11" s="49"/>
      <c r="D11" s="50"/>
      <c r="E11" s="50"/>
      <c r="F11" s="86">
        <v>2</v>
      </c>
      <c r="G11" s="87" t="s">
        <v>58</v>
      </c>
      <c r="H11" s="88"/>
      <c r="I11" s="89"/>
      <c r="J11" s="90">
        <v>1</v>
      </c>
      <c r="K11" s="91" t="s">
        <v>59</v>
      </c>
      <c r="L11" s="56"/>
      <c r="M11" s="57"/>
      <c r="N11" s="58" t="s">
        <v>45</v>
      </c>
      <c r="O11" s="58" t="s">
        <v>46</v>
      </c>
      <c r="P11" s="59" t="s">
        <v>19</v>
      </c>
      <c r="Q11" s="60" t="s">
        <v>170</v>
      </c>
      <c r="R11" s="92"/>
    </row>
    <row r="12" spans="2:256" ht="21.6" customHeight="1">
      <c r="B12" s="35"/>
      <c r="C12" s="49"/>
      <c r="D12" s="50"/>
      <c r="E12" s="50"/>
      <c r="F12" s="86">
        <v>3</v>
      </c>
      <c r="G12" s="87" t="s">
        <v>60</v>
      </c>
      <c r="H12" s="88"/>
      <c r="I12" s="89"/>
      <c r="J12" s="90">
        <v>1</v>
      </c>
      <c r="K12" s="91" t="s">
        <v>61</v>
      </c>
      <c r="L12" s="56"/>
      <c r="M12" s="57"/>
      <c r="N12" s="58" t="s">
        <v>45</v>
      </c>
      <c r="O12" s="58" t="s">
        <v>46</v>
      </c>
      <c r="P12" s="59" t="s">
        <v>19</v>
      </c>
      <c r="Q12" s="60" t="s">
        <v>170</v>
      </c>
      <c r="R12" s="92"/>
    </row>
    <row r="13" spans="2:256" ht="21.6" customHeight="1">
      <c r="B13" s="35"/>
      <c r="C13" s="49"/>
      <c r="D13" s="50"/>
      <c r="E13" s="50"/>
      <c r="F13" s="93">
        <v>4</v>
      </c>
      <c r="G13" s="94" t="s">
        <v>62</v>
      </c>
      <c r="H13" s="95"/>
      <c r="I13" s="96"/>
      <c r="J13" s="93">
        <v>1</v>
      </c>
      <c r="K13" s="97" t="s">
        <v>63</v>
      </c>
      <c r="L13" s="98"/>
      <c r="M13" s="99"/>
      <c r="N13" s="100" t="s">
        <v>45</v>
      </c>
      <c r="O13" s="100" t="s">
        <v>46</v>
      </c>
      <c r="P13" s="84" t="s">
        <v>19</v>
      </c>
      <c r="Q13" s="47" t="s">
        <v>170</v>
      </c>
      <c r="R13" s="101"/>
    </row>
    <row r="14" spans="2:256" ht="13.5">
      <c r="B14" s="191" t="s">
        <v>14</v>
      </c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3"/>
      <c r="N14" s="31">
        <f>COUNTIF(N6:N13,"Y")</f>
        <v>8</v>
      </c>
      <c r="O14" s="31">
        <f>COUNTIF(O6:O13,"OK")</f>
        <v>8</v>
      </c>
      <c r="P14" s="102"/>
      <c r="Q14" s="102"/>
      <c r="R14" s="103"/>
    </row>
    <row r="16" spans="2:256">
      <c r="B16" s="13"/>
      <c r="C16" s="13"/>
      <c r="D16" s="13"/>
      <c r="E16" s="13"/>
      <c r="F16" s="13"/>
      <c r="J16" s="13"/>
    </row>
    <row r="17" spans="2:10">
      <c r="B17" s="13"/>
      <c r="C17" s="13"/>
      <c r="D17" s="13"/>
      <c r="E17" s="13"/>
      <c r="F17" s="13"/>
      <c r="J17" s="13"/>
    </row>
    <row r="18" spans="2:10">
      <c r="B18" s="13"/>
      <c r="C18" s="13"/>
      <c r="D18" s="13"/>
      <c r="E18" s="13"/>
      <c r="F18" s="13"/>
      <c r="J18" s="13"/>
    </row>
  </sheetData>
  <mergeCells count="6">
    <mergeCell ref="B2:E2"/>
    <mergeCell ref="B5:M5"/>
    <mergeCell ref="F3:I3"/>
    <mergeCell ref="J3:M3"/>
    <mergeCell ref="B14:M14"/>
    <mergeCell ref="B3:E3"/>
  </mergeCells>
  <phoneticPr fontId="12" type="noConversion"/>
  <pageMargins left="0.32013888888888892" right="0.27013888888888887" top="0.59027777777777779" bottom="0.59027777777777779" header="0.51180555555555551" footer="0.51180555555555551"/>
  <pageSetup paperSize="9" firstPageNumber="0" fitToHeight="7" orientation="landscape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63"/>
  <sheetViews>
    <sheetView topLeftCell="A23" zoomScale="80" zoomScaleNormal="80" workbookViewId="0">
      <selection activeCell="P49" sqref="P49:Q58"/>
    </sheetView>
  </sheetViews>
  <sheetFormatPr defaultRowHeight="12.75"/>
  <cols>
    <col min="1" max="1" width="2.375" style="13" customWidth="1"/>
    <col min="2" max="2" width="3.375" style="14" customWidth="1"/>
    <col min="3" max="3" width="10.625" style="14" customWidth="1"/>
    <col min="4" max="4" width="1.875" style="14" customWidth="1"/>
    <col min="5" max="5" width="4.375" style="14" customWidth="1"/>
    <col min="6" max="6" width="3.375" style="14" customWidth="1"/>
    <col min="7" max="7" width="10.625" style="15" customWidth="1"/>
    <col min="8" max="8" width="11.125" style="15" customWidth="1"/>
    <col min="9" max="9" width="13.875" style="15" customWidth="1"/>
    <col min="10" max="10" width="3.375" style="14" customWidth="1"/>
    <col min="11" max="11" width="17.875" style="13" customWidth="1"/>
    <col min="12" max="12" width="8.875" style="15" customWidth="1"/>
    <col min="13" max="13" width="47.75" style="15" customWidth="1"/>
    <col min="14" max="14" width="13.5" style="14" customWidth="1"/>
    <col min="15" max="15" width="8.875" style="14" customWidth="1"/>
    <col min="16" max="16" width="16.5" style="13" customWidth="1"/>
    <col min="17" max="17" width="12.125" style="13" customWidth="1"/>
    <col min="18" max="18" width="29.75" style="14" customWidth="1"/>
    <col min="19" max="249" width="9" style="13" customWidth="1"/>
    <col min="250" max="250" width="9" style="16" customWidth="1"/>
    <col min="251" max="16384" width="9" style="16"/>
  </cols>
  <sheetData>
    <row r="1" spans="2:256" ht="13.5">
      <c r="F1" t="s">
        <v>0</v>
      </c>
    </row>
    <row r="2" spans="2:256" ht="19.5" customHeight="1">
      <c r="B2" s="189" t="s">
        <v>1</v>
      </c>
      <c r="C2" s="190"/>
      <c r="D2" s="190"/>
      <c r="E2" s="190"/>
      <c r="F2" s="17" t="s">
        <v>2</v>
      </c>
      <c r="G2" s="18"/>
      <c r="H2" s="18"/>
      <c r="I2" s="19"/>
      <c r="J2" s="13"/>
      <c r="L2" s="13"/>
      <c r="M2" s="13"/>
      <c r="N2" s="13"/>
      <c r="O2" s="13"/>
      <c r="R2" s="13"/>
    </row>
    <row r="3" spans="2:256" ht="22.35" customHeight="1">
      <c r="B3" s="188" t="s">
        <v>3</v>
      </c>
      <c r="C3" s="185"/>
      <c r="D3" s="185"/>
      <c r="E3" s="185"/>
      <c r="F3" s="184" t="s">
        <v>4</v>
      </c>
      <c r="G3" s="185"/>
      <c r="H3" s="185"/>
      <c r="I3" s="185"/>
      <c r="J3" s="186" t="s">
        <v>5</v>
      </c>
      <c r="K3" s="185"/>
      <c r="L3" s="185"/>
      <c r="M3" s="187"/>
      <c r="N3" s="21" t="s">
        <v>6</v>
      </c>
      <c r="O3" s="21" t="s">
        <v>7</v>
      </c>
      <c r="P3" s="20" t="s">
        <v>8</v>
      </c>
      <c r="Q3" s="20" t="s">
        <v>9</v>
      </c>
      <c r="R3" s="22" t="s">
        <v>10</v>
      </c>
    </row>
    <row r="4" spans="2:256">
      <c r="B4" s="23" t="s">
        <v>11</v>
      </c>
      <c r="C4" s="24"/>
      <c r="D4" s="25"/>
      <c r="E4" s="26"/>
      <c r="F4" s="27" t="s">
        <v>11</v>
      </c>
      <c r="G4" s="24"/>
      <c r="H4" s="25"/>
      <c r="I4" s="26"/>
      <c r="J4" s="27" t="s">
        <v>11</v>
      </c>
      <c r="K4" s="28"/>
      <c r="L4" s="25"/>
      <c r="M4" s="25"/>
      <c r="N4" s="29" t="s">
        <v>12</v>
      </c>
      <c r="O4" s="29" t="s">
        <v>13</v>
      </c>
      <c r="P4" s="29"/>
      <c r="Q4" s="29"/>
      <c r="R4" s="30"/>
    </row>
    <row r="5" spans="2:256" ht="13.5">
      <c r="B5" s="181" t="s">
        <v>14</v>
      </c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3"/>
      <c r="N5" s="31">
        <f>COUNTIF(N6:N58,"Y")</f>
        <v>53</v>
      </c>
      <c r="O5" s="32">
        <f>COUNTIF(O6:O58,"OK")</f>
        <v>53</v>
      </c>
      <c r="P5" s="33"/>
      <c r="Q5" s="33"/>
      <c r="R5" s="34"/>
    </row>
    <row r="6" spans="2:256" s="13" customFormat="1" ht="27.4" customHeight="1">
      <c r="B6" s="35">
        <v>1</v>
      </c>
      <c r="C6" s="50" t="s">
        <v>64</v>
      </c>
      <c r="D6" s="50"/>
      <c r="E6" s="50"/>
      <c r="F6" s="104">
        <v>1</v>
      </c>
      <c r="G6" s="105" t="s">
        <v>65</v>
      </c>
      <c r="H6" s="40"/>
      <c r="I6" s="41"/>
      <c r="J6" s="106">
        <v>1</v>
      </c>
      <c r="K6" s="107" t="s">
        <v>66</v>
      </c>
      <c r="L6" s="43"/>
      <c r="M6" s="44"/>
      <c r="N6" s="45" t="s">
        <v>45</v>
      </c>
      <c r="O6" s="45" t="s">
        <v>46</v>
      </c>
      <c r="P6" s="46" t="s">
        <v>19</v>
      </c>
      <c r="Q6" s="47" t="s">
        <v>170</v>
      </c>
      <c r="R6" s="48" t="s">
        <v>47</v>
      </c>
      <c r="IP6" s="16"/>
      <c r="IQ6" s="16"/>
      <c r="IR6" s="16"/>
      <c r="IS6" s="16"/>
      <c r="IT6" s="16"/>
      <c r="IU6" s="16"/>
      <c r="IV6" s="16"/>
    </row>
    <row r="7" spans="2:256" s="13" customFormat="1" ht="21.6" customHeight="1">
      <c r="B7" s="35"/>
      <c r="C7" s="49"/>
      <c r="D7" s="50"/>
      <c r="E7" s="50"/>
      <c r="F7" s="90">
        <v>2</v>
      </c>
      <c r="G7" s="108" t="s">
        <v>67</v>
      </c>
      <c r="H7" s="53"/>
      <c r="I7" s="54"/>
      <c r="J7" s="51">
        <v>1</v>
      </c>
      <c r="K7" s="91" t="s">
        <v>68</v>
      </c>
      <c r="L7" s="56"/>
      <c r="M7" s="57"/>
      <c r="N7" s="58" t="s">
        <v>45</v>
      </c>
      <c r="O7" s="58" t="s">
        <v>46</v>
      </c>
      <c r="P7" s="59" t="s">
        <v>19</v>
      </c>
      <c r="Q7" s="60" t="s">
        <v>170</v>
      </c>
      <c r="R7" s="61"/>
      <c r="IP7" s="16"/>
      <c r="IQ7" s="16"/>
      <c r="IR7" s="16"/>
      <c r="IS7" s="16"/>
      <c r="IT7" s="16"/>
      <c r="IU7" s="16"/>
      <c r="IV7" s="16"/>
    </row>
    <row r="8" spans="2:256" ht="21.6" customHeight="1">
      <c r="B8" s="109">
        <v>2</v>
      </c>
      <c r="C8" s="110" t="s">
        <v>56</v>
      </c>
      <c r="D8" s="111"/>
      <c r="E8" s="111"/>
      <c r="F8" s="112">
        <v>1</v>
      </c>
      <c r="G8" s="113" t="s">
        <v>69</v>
      </c>
      <c r="H8" s="114"/>
      <c r="I8" s="115"/>
      <c r="J8" s="112">
        <v>1</v>
      </c>
      <c r="K8" s="116" t="s">
        <v>70</v>
      </c>
      <c r="L8" s="117"/>
      <c r="M8" s="118"/>
      <c r="N8" s="119" t="s">
        <v>45</v>
      </c>
      <c r="O8" s="119" t="s">
        <v>46</v>
      </c>
      <c r="P8" s="120" t="s">
        <v>19</v>
      </c>
      <c r="Q8" s="121" t="s">
        <v>170</v>
      </c>
      <c r="R8" s="122"/>
    </row>
    <row r="9" spans="2:256" ht="21.6" customHeight="1">
      <c r="B9" s="123"/>
      <c r="C9" s="124"/>
      <c r="D9" s="125"/>
      <c r="E9" s="125"/>
      <c r="F9" s="69">
        <v>2</v>
      </c>
      <c r="G9" s="126" t="s">
        <v>71</v>
      </c>
      <c r="H9" s="67"/>
      <c r="I9" s="68"/>
      <c r="J9" s="69">
        <v>1</v>
      </c>
      <c r="K9" s="127" t="s">
        <v>72</v>
      </c>
      <c r="L9" s="71"/>
      <c r="M9" s="72"/>
      <c r="N9" s="73" t="s">
        <v>45</v>
      </c>
      <c r="O9" s="73" t="s">
        <v>46</v>
      </c>
      <c r="P9" s="74" t="s">
        <v>19</v>
      </c>
      <c r="Q9" s="75" t="s">
        <v>170</v>
      </c>
      <c r="R9" s="76"/>
    </row>
    <row r="10" spans="2:256" ht="21.6" customHeight="1">
      <c r="B10" s="123"/>
      <c r="C10" s="128"/>
      <c r="D10" s="125"/>
      <c r="E10" s="125"/>
      <c r="F10" s="65">
        <v>3</v>
      </c>
      <c r="G10" s="66" t="s">
        <v>73</v>
      </c>
      <c r="H10" s="129"/>
      <c r="I10" s="130"/>
      <c r="J10" s="131">
        <v>1</v>
      </c>
      <c r="K10" s="132" t="s">
        <v>74</v>
      </c>
      <c r="L10" s="133"/>
      <c r="M10" s="134"/>
      <c r="N10" s="135" t="s">
        <v>45</v>
      </c>
      <c r="O10" s="135" t="s">
        <v>46</v>
      </c>
      <c r="P10" s="74" t="s">
        <v>19</v>
      </c>
      <c r="Q10" s="75" t="s">
        <v>170</v>
      </c>
      <c r="R10" s="136"/>
    </row>
    <row r="11" spans="2:256" ht="21.6" customHeight="1">
      <c r="B11" s="80">
        <v>3</v>
      </c>
      <c r="C11" s="36" t="s">
        <v>31</v>
      </c>
      <c r="D11" s="37"/>
      <c r="E11" s="37"/>
      <c r="F11" s="86">
        <v>1</v>
      </c>
      <c r="G11" s="88" t="s">
        <v>75</v>
      </c>
      <c r="H11" s="88"/>
      <c r="I11" s="89"/>
      <c r="J11" s="90">
        <v>1</v>
      </c>
      <c r="K11" s="91" t="s">
        <v>76</v>
      </c>
      <c r="L11" s="56"/>
      <c r="M11" s="57"/>
      <c r="N11" s="58" t="s">
        <v>45</v>
      </c>
      <c r="O11" s="58" t="s">
        <v>46</v>
      </c>
      <c r="P11" s="59" t="s">
        <v>19</v>
      </c>
      <c r="Q11" s="60" t="s">
        <v>170</v>
      </c>
      <c r="R11" s="61"/>
    </row>
    <row r="12" spans="2:256" ht="21.6" customHeight="1">
      <c r="B12" s="35"/>
      <c r="C12" s="49"/>
      <c r="D12" s="50"/>
      <c r="E12" s="50"/>
      <c r="F12" s="38"/>
      <c r="G12" s="137"/>
      <c r="H12" s="137"/>
      <c r="I12" s="138"/>
      <c r="J12" s="90">
        <v>2</v>
      </c>
      <c r="K12" s="91" t="s">
        <v>77</v>
      </c>
      <c r="L12" s="56"/>
      <c r="M12" s="57"/>
      <c r="N12" s="58" t="s">
        <v>45</v>
      </c>
      <c r="O12" s="58" t="s">
        <v>46</v>
      </c>
      <c r="P12" s="59" t="s">
        <v>19</v>
      </c>
      <c r="Q12" s="60" t="s">
        <v>170</v>
      </c>
      <c r="R12" s="61"/>
    </row>
    <row r="13" spans="2:256" ht="21.6" customHeight="1">
      <c r="B13" s="35"/>
      <c r="C13" s="49"/>
      <c r="D13" s="50"/>
      <c r="E13" s="50"/>
      <c r="F13" s="51">
        <v>2</v>
      </c>
      <c r="G13" s="52" t="s">
        <v>78</v>
      </c>
      <c r="H13" s="53"/>
      <c r="I13" s="54"/>
      <c r="J13" s="51">
        <v>1</v>
      </c>
      <c r="K13" s="55" t="s">
        <v>79</v>
      </c>
      <c r="L13" s="56"/>
      <c r="M13" s="57"/>
      <c r="N13" s="58" t="s">
        <v>45</v>
      </c>
      <c r="O13" s="58" t="s">
        <v>46</v>
      </c>
      <c r="P13" s="59" t="s">
        <v>19</v>
      </c>
      <c r="Q13" s="60" t="s">
        <v>170</v>
      </c>
      <c r="R13" s="61"/>
    </row>
    <row r="14" spans="2:256" ht="21.6" customHeight="1">
      <c r="B14" s="35"/>
      <c r="C14" s="49"/>
      <c r="D14" s="50"/>
      <c r="E14" s="50"/>
      <c r="F14" s="51">
        <v>3</v>
      </c>
      <c r="G14" s="52" t="s">
        <v>80</v>
      </c>
      <c r="H14" s="53"/>
      <c r="I14" s="54"/>
      <c r="J14" s="51">
        <v>1</v>
      </c>
      <c r="K14" s="55" t="s">
        <v>81</v>
      </c>
      <c r="L14" s="56"/>
      <c r="M14" s="57"/>
      <c r="N14" s="58" t="s">
        <v>45</v>
      </c>
      <c r="O14" s="58" t="s">
        <v>46</v>
      </c>
      <c r="P14" s="59" t="s">
        <v>19</v>
      </c>
      <c r="Q14" s="60" t="s">
        <v>170</v>
      </c>
      <c r="R14" s="61"/>
    </row>
    <row r="15" spans="2:256" ht="21.6" customHeight="1">
      <c r="B15" s="35"/>
      <c r="C15" s="49"/>
      <c r="D15" s="50"/>
      <c r="E15" s="50"/>
      <c r="F15" s="51">
        <v>4</v>
      </c>
      <c r="G15" s="52" t="s">
        <v>82</v>
      </c>
      <c r="H15" s="53"/>
      <c r="I15" s="54"/>
      <c r="J15" s="51">
        <v>1</v>
      </c>
      <c r="K15" s="55" t="s">
        <v>83</v>
      </c>
      <c r="L15" s="56"/>
      <c r="M15" s="57"/>
      <c r="N15" s="58" t="s">
        <v>45</v>
      </c>
      <c r="O15" s="58" t="s">
        <v>46</v>
      </c>
      <c r="P15" s="59" t="s">
        <v>19</v>
      </c>
      <c r="Q15" s="60" t="s">
        <v>170</v>
      </c>
      <c r="R15" s="61"/>
    </row>
    <row r="16" spans="2:256" ht="21.6" customHeight="1">
      <c r="B16" s="35"/>
      <c r="C16" s="49"/>
      <c r="D16" s="50"/>
      <c r="E16" s="50"/>
      <c r="F16" s="90">
        <v>5</v>
      </c>
      <c r="G16" s="139" t="s">
        <v>84</v>
      </c>
      <c r="H16" s="140"/>
      <c r="I16" s="141"/>
      <c r="J16" s="90">
        <v>1</v>
      </c>
      <c r="K16" s="91" t="s">
        <v>85</v>
      </c>
      <c r="L16" s="56"/>
      <c r="M16" s="57"/>
      <c r="N16" s="58" t="s">
        <v>45</v>
      </c>
      <c r="O16" s="58" t="s">
        <v>46</v>
      </c>
      <c r="P16" s="59" t="s">
        <v>19</v>
      </c>
      <c r="Q16" s="60" t="s">
        <v>170</v>
      </c>
      <c r="R16" s="61"/>
    </row>
    <row r="17" spans="2:18" ht="21.6" customHeight="1">
      <c r="B17" s="109">
        <v>4</v>
      </c>
      <c r="C17" s="110" t="s">
        <v>58</v>
      </c>
      <c r="D17" s="111"/>
      <c r="E17" s="111"/>
      <c r="F17" s="112">
        <v>1</v>
      </c>
      <c r="G17" s="113" t="s">
        <v>86</v>
      </c>
      <c r="H17" s="114"/>
      <c r="I17" s="115"/>
      <c r="J17" s="112">
        <v>1</v>
      </c>
      <c r="K17" s="116" t="s">
        <v>87</v>
      </c>
      <c r="L17" s="117"/>
      <c r="M17" s="118"/>
      <c r="N17" s="119" t="s">
        <v>45</v>
      </c>
      <c r="O17" s="119" t="s">
        <v>46</v>
      </c>
      <c r="P17" s="120" t="s">
        <v>19</v>
      </c>
      <c r="Q17" s="121" t="s">
        <v>170</v>
      </c>
      <c r="R17" s="142"/>
    </row>
    <row r="18" spans="2:18" ht="21.6" customHeight="1">
      <c r="B18" s="123"/>
      <c r="C18" s="124"/>
      <c r="D18" s="125"/>
      <c r="E18" s="125"/>
      <c r="F18" s="143">
        <v>2</v>
      </c>
      <c r="G18" s="63" t="s">
        <v>88</v>
      </c>
      <c r="H18" s="64"/>
      <c r="I18" s="144"/>
      <c r="J18" s="65">
        <v>1</v>
      </c>
      <c r="K18" s="70" t="s">
        <v>89</v>
      </c>
      <c r="L18" s="71"/>
      <c r="M18" s="72"/>
      <c r="N18" s="73" t="s">
        <v>45</v>
      </c>
      <c r="O18" s="73" t="s">
        <v>46</v>
      </c>
      <c r="P18" s="74" t="s">
        <v>19</v>
      </c>
      <c r="Q18" s="75" t="s">
        <v>170</v>
      </c>
      <c r="R18" s="145"/>
    </row>
    <row r="19" spans="2:18" ht="21.6" customHeight="1">
      <c r="B19" s="123"/>
      <c r="C19" s="124"/>
      <c r="D19" s="125"/>
      <c r="E19" s="125"/>
      <c r="F19" s="146"/>
      <c r="G19" s="78"/>
      <c r="H19" s="79"/>
      <c r="I19" s="147"/>
      <c r="J19" s="65">
        <v>2</v>
      </c>
      <c r="K19" s="70" t="s">
        <v>90</v>
      </c>
      <c r="L19" s="71"/>
      <c r="M19" s="72"/>
      <c r="N19" s="73" t="s">
        <v>45</v>
      </c>
      <c r="O19" s="73" t="s">
        <v>46</v>
      </c>
      <c r="P19" s="74" t="s">
        <v>19</v>
      </c>
      <c r="Q19" s="75" t="s">
        <v>170</v>
      </c>
      <c r="R19" s="145"/>
    </row>
    <row r="20" spans="2:18" ht="21.6" customHeight="1">
      <c r="B20" s="123"/>
      <c r="C20" s="124"/>
      <c r="D20" s="125"/>
      <c r="E20" s="125"/>
      <c r="F20" s="143">
        <v>3</v>
      </c>
      <c r="G20" s="63" t="s">
        <v>91</v>
      </c>
      <c r="H20" s="64"/>
      <c r="I20" s="144"/>
      <c r="J20" s="143">
        <v>1</v>
      </c>
      <c r="K20" s="148" t="s">
        <v>92</v>
      </c>
      <c r="L20" s="149"/>
      <c r="M20" s="150"/>
      <c r="N20" s="151" t="s">
        <v>45</v>
      </c>
      <c r="O20" s="151" t="s">
        <v>46</v>
      </c>
      <c r="P20" s="120" t="s">
        <v>19</v>
      </c>
      <c r="Q20" s="121" t="s">
        <v>170</v>
      </c>
      <c r="R20" s="152"/>
    </row>
    <row r="21" spans="2:18" ht="21.6" customHeight="1">
      <c r="B21" s="123"/>
      <c r="C21" s="124"/>
      <c r="D21" s="125"/>
      <c r="E21" s="125"/>
      <c r="F21" s="153">
        <v>4</v>
      </c>
      <c r="G21" s="154" t="s">
        <v>93</v>
      </c>
      <c r="H21" s="155"/>
      <c r="I21" s="156"/>
      <c r="J21" s="69">
        <v>1</v>
      </c>
      <c r="K21" s="127" t="s">
        <v>94</v>
      </c>
      <c r="L21" s="71"/>
      <c r="M21" s="72"/>
      <c r="N21" s="73" t="s">
        <v>45</v>
      </c>
      <c r="O21" s="73" t="s">
        <v>46</v>
      </c>
      <c r="P21" s="74" t="s">
        <v>19</v>
      </c>
      <c r="Q21" s="75" t="s">
        <v>170</v>
      </c>
      <c r="R21" s="145"/>
    </row>
    <row r="22" spans="2:18" ht="21.6" customHeight="1">
      <c r="B22" s="123"/>
      <c r="C22" s="124"/>
      <c r="D22" s="125"/>
      <c r="E22" s="125"/>
      <c r="F22" s="112"/>
      <c r="G22" s="113"/>
      <c r="H22" s="114"/>
      <c r="I22" s="115"/>
      <c r="J22" s="69">
        <v>2</v>
      </c>
      <c r="K22" s="127" t="s">
        <v>95</v>
      </c>
      <c r="L22" s="71"/>
      <c r="M22" s="72"/>
      <c r="N22" s="73" t="s">
        <v>45</v>
      </c>
      <c r="O22" s="73" t="s">
        <v>46</v>
      </c>
      <c r="P22" s="74" t="s">
        <v>19</v>
      </c>
      <c r="Q22" s="75" t="s">
        <v>170</v>
      </c>
      <c r="R22" s="145"/>
    </row>
    <row r="23" spans="2:18" ht="21.6" customHeight="1">
      <c r="B23" s="123"/>
      <c r="C23" s="124"/>
      <c r="D23" s="125"/>
      <c r="E23" s="125"/>
      <c r="F23" s="112"/>
      <c r="G23" s="113"/>
      <c r="H23" s="114"/>
      <c r="I23" s="115"/>
      <c r="J23" s="69">
        <v>3</v>
      </c>
      <c r="K23" s="127" t="s">
        <v>96</v>
      </c>
      <c r="L23" s="71"/>
      <c r="M23" s="72"/>
      <c r="N23" s="73" t="s">
        <v>45</v>
      </c>
      <c r="O23" s="73" t="s">
        <v>46</v>
      </c>
      <c r="P23" s="74" t="s">
        <v>19</v>
      </c>
      <c r="Q23" s="75" t="s">
        <v>170</v>
      </c>
      <c r="R23" s="145"/>
    </row>
    <row r="24" spans="2:18" ht="21.6" customHeight="1">
      <c r="B24" s="123"/>
      <c r="C24" s="124"/>
      <c r="D24" s="125"/>
      <c r="E24" s="125"/>
      <c r="F24" s="112"/>
      <c r="G24" s="113"/>
      <c r="H24" s="114"/>
      <c r="I24" s="115"/>
      <c r="J24" s="69">
        <v>4</v>
      </c>
      <c r="K24" s="127" t="s">
        <v>97</v>
      </c>
      <c r="L24" s="71"/>
      <c r="M24" s="72"/>
      <c r="N24" s="73" t="s">
        <v>45</v>
      </c>
      <c r="O24" s="73" t="s">
        <v>46</v>
      </c>
      <c r="P24" s="74" t="s">
        <v>19</v>
      </c>
      <c r="Q24" s="75" t="s">
        <v>170</v>
      </c>
      <c r="R24" s="145"/>
    </row>
    <row r="25" spans="2:18" ht="21.6" customHeight="1">
      <c r="B25" s="80">
        <v>5</v>
      </c>
      <c r="C25" s="36" t="s">
        <v>98</v>
      </c>
      <c r="D25" s="37"/>
      <c r="E25" s="37"/>
      <c r="F25" s="86">
        <v>1</v>
      </c>
      <c r="G25" s="87" t="s">
        <v>99</v>
      </c>
      <c r="H25" s="88"/>
      <c r="I25" s="89"/>
      <c r="J25" s="90">
        <v>1</v>
      </c>
      <c r="K25" s="91" t="s">
        <v>100</v>
      </c>
      <c r="L25" s="56"/>
      <c r="M25" s="57"/>
      <c r="N25" s="58" t="s">
        <v>45</v>
      </c>
      <c r="O25" s="58" t="s">
        <v>46</v>
      </c>
      <c r="P25" s="59" t="s">
        <v>19</v>
      </c>
      <c r="Q25" s="60" t="s">
        <v>170</v>
      </c>
      <c r="R25" s="92"/>
    </row>
    <row r="26" spans="2:18" ht="21.6" customHeight="1">
      <c r="B26" s="35"/>
      <c r="C26" s="49"/>
      <c r="D26" s="50"/>
      <c r="E26" s="50"/>
      <c r="F26" s="38"/>
      <c r="G26" s="39"/>
      <c r="H26" s="40"/>
      <c r="I26" s="41"/>
      <c r="J26" s="90">
        <v>2</v>
      </c>
      <c r="K26" s="91" t="s">
        <v>101</v>
      </c>
      <c r="L26" s="56"/>
      <c r="M26" s="57"/>
      <c r="N26" s="58" t="s">
        <v>45</v>
      </c>
      <c r="O26" s="58" t="s">
        <v>46</v>
      </c>
      <c r="P26" s="59" t="s">
        <v>19</v>
      </c>
      <c r="Q26" s="60" t="s">
        <v>170</v>
      </c>
      <c r="R26" s="92"/>
    </row>
    <row r="27" spans="2:18" ht="21.6" customHeight="1">
      <c r="B27" s="35"/>
      <c r="C27" s="49"/>
      <c r="D27" s="50"/>
      <c r="E27" s="50"/>
      <c r="F27" s="93">
        <v>2</v>
      </c>
      <c r="G27" s="94" t="s">
        <v>102</v>
      </c>
      <c r="H27" s="95"/>
      <c r="I27" s="96"/>
      <c r="J27" s="51">
        <v>1</v>
      </c>
      <c r="K27" s="55" t="s">
        <v>103</v>
      </c>
      <c r="L27" s="56"/>
      <c r="M27" s="57"/>
      <c r="N27" s="58" t="s">
        <v>45</v>
      </c>
      <c r="O27" s="58" t="s">
        <v>46</v>
      </c>
      <c r="P27" s="59" t="s">
        <v>19</v>
      </c>
      <c r="Q27" s="60" t="s">
        <v>170</v>
      </c>
      <c r="R27" s="92"/>
    </row>
    <row r="28" spans="2:18" ht="21.6" customHeight="1">
      <c r="B28" s="35"/>
      <c r="C28" s="49"/>
      <c r="D28" s="50"/>
      <c r="E28" s="50"/>
      <c r="F28" s="93">
        <v>3</v>
      </c>
      <c r="G28" s="94" t="s">
        <v>104</v>
      </c>
      <c r="H28" s="95"/>
      <c r="I28" s="96"/>
      <c r="J28" s="51">
        <v>1</v>
      </c>
      <c r="K28" s="157" t="s">
        <v>105</v>
      </c>
      <c r="L28" s="56"/>
      <c r="M28" s="57"/>
      <c r="N28" s="58" t="s">
        <v>45</v>
      </c>
      <c r="O28" s="58" t="s">
        <v>46</v>
      </c>
      <c r="P28" s="59" t="s">
        <v>19</v>
      </c>
      <c r="Q28" s="60" t="s">
        <v>170</v>
      </c>
      <c r="R28" s="92"/>
    </row>
    <row r="29" spans="2:18" ht="21.6" customHeight="1">
      <c r="B29" s="35"/>
      <c r="C29" s="49"/>
      <c r="D29" s="50"/>
      <c r="E29" s="50"/>
      <c r="F29" s="93">
        <v>4</v>
      </c>
      <c r="G29" s="94" t="s">
        <v>106</v>
      </c>
      <c r="H29" s="95"/>
      <c r="I29" s="96"/>
      <c r="J29" s="51">
        <v>1</v>
      </c>
      <c r="K29" s="157" t="s">
        <v>107</v>
      </c>
      <c r="L29" s="56"/>
      <c r="M29" s="57"/>
      <c r="N29" s="58" t="s">
        <v>45</v>
      </c>
      <c r="O29" s="58" t="s">
        <v>46</v>
      </c>
      <c r="P29" s="59" t="s">
        <v>19</v>
      </c>
      <c r="Q29" s="60" t="s">
        <v>170</v>
      </c>
      <c r="R29" s="92"/>
    </row>
    <row r="30" spans="2:18" ht="21.6" customHeight="1">
      <c r="B30" s="35"/>
      <c r="C30" s="49"/>
      <c r="D30" s="50"/>
      <c r="E30" s="50"/>
      <c r="F30" s="93">
        <v>5</v>
      </c>
      <c r="G30" s="94" t="s">
        <v>108</v>
      </c>
      <c r="H30" s="95"/>
      <c r="I30" s="96"/>
      <c r="J30" s="51">
        <v>1</v>
      </c>
      <c r="K30" s="55" t="s">
        <v>109</v>
      </c>
      <c r="L30" s="56"/>
      <c r="M30" s="57"/>
      <c r="N30" s="58" t="s">
        <v>45</v>
      </c>
      <c r="O30" s="58" t="s">
        <v>46</v>
      </c>
      <c r="P30" s="59" t="s">
        <v>19</v>
      </c>
      <c r="Q30" s="60" t="s">
        <v>170</v>
      </c>
      <c r="R30" s="92"/>
    </row>
    <row r="31" spans="2:18" ht="21.6" customHeight="1">
      <c r="B31" s="35"/>
      <c r="C31" s="49"/>
      <c r="D31" s="50"/>
      <c r="E31" s="50"/>
      <c r="F31" s="86">
        <v>6</v>
      </c>
      <c r="G31" s="87" t="s">
        <v>110</v>
      </c>
      <c r="H31" s="95"/>
      <c r="I31" s="96"/>
      <c r="J31" s="90">
        <v>1</v>
      </c>
      <c r="K31" s="91" t="s">
        <v>111</v>
      </c>
      <c r="L31" s="56"/>
      <c r="M31" s="57"/>
      <c r="N31" s="58" t="s">
        <v>45</v>
      </c>
      <c r="O31" s="58" t="s">
        <v>46</v>
      </c>
      <c r="P31" s="59" t="s">
        <v>19</v>
      </c>
      <c r="Q31" s="60" t="s">
        <v>170</v>
      </c>
      <c r="R31" s="61"/>
    </row>
    <row r="32" spans="2:18" ht="21.6" customHeight="1">
      <c r="B32" s="109">
        <v>6</v>
      </c>
      <c r="C32" s="110" t="s">
        <v>112</v>
      </c>
      <c r="D32" s="111"/>
      <c r="E32" s="111"/>
      <c r="F32" s="153">
        <v>1</v>
      </c>
      <c r="G32" s="154" t="s">
        <v>113</v>
      </c>
      <c r="H32" s="155"/>
      <c r="I32" s="156"/>
      <c r="J32" s="69">
        <v>1</v>
      </c>
      <c r="K32" s="127" t="s">
        <v>114</v>
      </c>
      <c r="L32" s="71"/>
      <c r="M32" s="72"/>
      <c r="N32" s="73" t="s">
        <v>45</v>
      </c>
      <c r="O32" s="73" t="s">
        <v>46</v>
      </c>
      <c r="P32" s="74" t="s">
        <v>19</v>
      </c>
      <c r="Q32" s="75" t="s">
        <v>170</v>
      </c>
      <c r="R32" s="145"/>
    </row>
    <row r="33" spans="2:18" ht="21.6" customHeight="1">
      <c r="B33" s="158">
        <v>7</v>
      </c>
      <c r="C33" s="87" t="s">
        <v>115</v>
      </c>
      <c r="D33" s="88"/>
      <c r="E33" s="88"/>
      <c r="F33" s="86">
        <v>1</v>
      </c>
      <c r="G33" s="87" t="s">
        <v>116</v>
      </c>
      <c r="H33" s="88"/>
      <c r="I33" s="89"/>
      <c r="J33" s="90">
        <v>1</v>
      </c>
      <c r="K33" s="91" t="s">
        <v>117</v>
      </c>
      <c r="L33" s="56"/>
      <c r="M33" s="57"/>
      <c r="N33" s="58" t="s">
        <v>45</v>
      </c>
      <c r="O33" s="58" t="s">
        <v>46</v>
      </c>
      <c r="P33" s="59" t="s">
        <v>19</v>
      </c>
      <c r="Q33" s="60" t="s">
        <v>170</v>
      </c>
      <c r="R33" s="92"/>
    </row>
    <row r="34" spans="2:18" ht="21.6" customHeight="1">
      <c r="B34" s="159"/>
      <c r="C34" s="105"/>
      <c r="D34" s="160"/>
      <c r="E34" s="160"/>
      <c r="F34" s="104"/>
      <c r="G34" s="105"/>
      <c r="H34" s="160"/>
      <c r="I34" s="161"/>
      <c r="J34" s="90">
        <v>2</v>
      </c>
      <c r="K34" s="91" t="s">
        <v>118</v>
      </c>
      <c r="L34" s="56"/>
      <c r="M34" s="57"/>
      <c r="N34" s="58" t="s">
        <v>45</v>
      </c>
      <c r="O34" s="58" t="s">
        <v>46</v>
      </c>
      <c r="P34" s="59" t="s">
        <v>19</v>
      </c>
      <c r="Q34" s="60" t="s">
        <v>170</v>
      </c>
      <c r="R34" s="92"/>
    </row>
    <row r="35" spans="2:18" ht="21.6" customHeight="1">
      <c r="B35" s="159"/>
      <c r="C35" s="105"/>
      <c r="D35" s="160"/>
      <c r="E35" s="160"/>
      <c r="F35" s="104"/>
      <c r="G35" s="105"/>
      <c r="H35" s="160"/>
      <c r="I35" s="161"/>
      <c r="J35" s="90">
        <v>3</v>
      </c>
      <c r="K35" s="91" t="s">
        <v>119</v>
      </c>
      <c r="L35" s="56"/>
      <c r="M35" s="57"/>
      <c r="N35" s="58" t="s">
        <v>45</v>
      </c>
      <c r="O35" s="58" t="s">
        <v>46</v>
      </c>
      <c r="P35" s="59" t="s">
        <v>19</v>
      </c>
      <c r="Q35" s="60" t="s">
        <v>170</v>
      </c>
      <c r="R35" s="92"/>
    </row>
    <row r="36" spans="2:18" ht="21.6" customHeight="1">
      <c r="B36" s="159"/>
      <c r="C36" s="105"/>
      <c r="D36" s="160"/>
      <c r="E36" s="160"/>
      <c r="F36" s="104"/>
      <c r="G36" s="105"/>
      <c r="H36" s="160"/>
      <c r="I36" s="161"/>
      <c r="J36" s="90">
        <v>4</v>
      </c>
      <c r="K36" s="91" t="s">
        <v>120</v>
      </c>
      <c r="L36" s="56"/>
      <c r="M36" s="57"/>
      <c r="N36" s="58" t="s">
        <v>45</v>
      </c>
      <c r="O36" s="58" t="s">
        <v>46</v>
      </c>
      <c r="P36" s="59" t="s">
        <v>19</v>
      </c>
      <c r="Q36" s="60" t="s">
        <v>170</v>
      </c>
      <c r="R36" s="92"/>
    </row>
    <row r="37" spans="2:18" ht="21.6" customHeight="1">
      <c r="B37" s="159"/>
      <c r="C37" s="105"/>
      <c r="D37" s="160"/>
      <c r="E37" s="160"/>
      <c r="F37" s="104"/>
      <c r="G37" s="105"/>
      <c r="H37" s="160"/>
      <c r="I37" s="161"/>
      <c r="J37" s="90">
        <v>5</v>
      </c>
      <c r="K37" s="91" t="s">
        <v>121</v>
      </c>
      <c r="L37" s="56"/>
      <c r="M37" s="57"/>
      <c r="N37" s="58" t="s">
        <v>45</v>
      </c>
      <c r="O37" s="58" t="s">
        <v>46</v>
      </c>
      <c r="P37" s="59" t="s">
        <v>19</v>
      </c>
      <c r="Q37" s="60" t="s">
        <v>170</v>
      </c>
      <c r="R37" s="92"/>
    </row>
    <row r="38" spans="2:18" ht="21.6" customHeight="1">
      <c r="B38" s="159"/>
      <c r="C38" s="105"/>
      <c r="D38" s="160"/>
      <c r="E38" s="160"/>
      <c r="F38" s="86">
        <v>2</v>
      </c>
      <c r="G38" s="87" t="s">
        <v>122</v>
      </c>
      <c r="H38" s="88"/>
      <c r="I38" s="89"/>
      <c r="J38" s="90">
        <v>1</v>
      </c>
      <c r="K38" s="162" t="s">
        <v>123</v>
      </c>
      <c r="L38" s="56"/>
      <c r="M38" s="57"/>
      <c r="N38" s="58" t="s">
        <v>45</v>
      </c>
      <c r="O38" s="58" t="s">
        <v>46</v>
      </c>
      <c r="P38" s="59" t="s">
        <v>19</v>
      </c>
      <c r="Q38" s="60" t="s">
        <v>170</v>
      </c>
      <c r="R38" s="92"/>
    </row>
    <row r="39" spans="2:18" ht="21.6" customHeight="1">
      <c r="B39" s="159"/>
      <c r="C39" s="105"/>
      <c r="D39" s="160"/>
      <c r="E39" s="160"/>
      <c r="F39" s="104"/>
      <c r="G39" s="105"/>
      <c r="H39" s="160"/>
      <c r="I39" s="161"/>
      <c r="J39" s="90">
        <v>2</v>
      </c>
      <c r="K39" s="91" t="s">
        <v>124</v>
      </c>
      <c r="L39" s="56"/>
      <c r="M39" s="57"/>
      <c r="N39" s="58" t="s">
        <v>45</v>
      </c>
      <c r="O39" s="58" t="s">
        <v>46</v>
      </c>
      <c r="P39" s="59" t="s">
        <v>19</v>
      </c>
      <c r="Q39" s="60" t="s">
        <v>170</v>
      </c>
      <c r="R39" s="92"/>
    </row>
    <row r="40" spans="2:18" ht="21.6" customHeight="1">
      <c r="B40" s="159"/>
      <c r="C40" s="105"/>
      <c r="D40" s="160"/>
      <c r="E40" s="160"/>
      <c r="F40" s="104"/>
      <c r="G40" s="105"/>
      <c r="H40" s="160"/>
      <c r="I40" s="161"/>
      <c r="J40" s="90">
        <v>3</v>
      </c>
      <c r="K40" s="91" t="s">
        <v>125</v>
      </c>
      <c r="L40" s="56"/>
      <c r="M40" s="57"/>
      <c r="N40" s="58" t="s">
        <v>45</v>
      </c>
      <c r="O40" s="58" t="s">
        <v>46</v>
      </c>
      <c r="P40" s="59" t="s">
        <v>19</v>
      </c>
      <c r="Q40" s="60" t="s">
        <v>170</v>
      </c>
      <c r="R40" s="92"/>
    </row>
    <row r="41" spans="2:18" ht="21.6" customHeight="1">
      <c r="B41" s="159"/>
      <c r="C41" s="105"/>
      <c r="D41" s="160"/>
      <c r="E41" s="160"/>
      <c r="F41" s="104"/>
      <c r="G41" s="105"/>
      <c r="H41" s="160"/>
      <c r="I41" s="161"/>
      <c r="J41" s="90">
        <v>4</v>
      </c>
      <c r="K41" s="91" t="s">
        <v>126</v>
      </c>
      <c r="L41" s="56"/>
      <c r="M41" s="57"/>
      <c r="N41" s="58" t="s">
        <v>45</v>
      </c>
      <c r="O41" s="58" t="s">
        <v>46</v>
      </c>
      <c r="P41" s="59" t="s">
        <v>19</v>
      </c>
      <c r="Q41" s="60" t="s">
        <v>170</v>
      </c>
      <c r="R41" s="92"/>
    </row>
    <row r="42" spans="2:18" ht="21.6" customHeight="1">
      <c r="B42" s="159"/>
      <c r="C42" s="105"/>
      <c r="D42" s="160"/>
      <c r="E42" s="160"/>
      <c r="F42" s="104"/>
      <c r="G42" s="105"/>
      <c r="H42" s="160"/>
      <c r="I42" s="161"/>
      <c r="J42" s="90">
        <v>5</v>
      </c>
      <c r="K42" s="91" t="s">
        <v>127</v>
      </c>
      <c r="L42" s="56"/>
      <c r="M42" s="57"/>
      <c r="N42" s="58" t="s">
        <v>45</v>
      </c>
      <c r="O42" s="58" t="s">
        <v>46</v>
      </c>
      <c r="P42" s="59" t="s">
        <v>19</v>
      </c>
      <c r="Q42" s="60" t="s">
        <v>170</v>
      </c>
      <c r="R42" s="61"/>
    </row>
    <row r="43" spans="2:18" ht="21.6" customHeight="1">
      <c r="B43" s="159"/>
      <c r="C43" s="105"/>
      <c r="D43" s="160"/>
      <c r="E43" s="160"/>
      <c r="F43" s="104"/>
      <c r="G43" s="105"/>
      <c r="H43" s="160"/>
      <c r="I43" s="161"/>
      <c r="J43" s="90">
        <v>6</v>
      </c>
      <c r="K43" s="91" t="s">
        <v>128</v>
      </c>
      <c r="L43" s="56"/>
      <c r="M43" s="57"/>
      <c r="N43" s="58" t="s">
        <v>45</v>
      </c>
      <c r="O43" s="58" t="s">
        <v>46</v>
      </c>
      <c r="P43" s="59" t="s">
        <v>19</v>
      </c>
      <c r="Q43" s="60" t="s">
        <v>170</v>
      </c>
      <c r="R43" s="61"/>
    </row>
    <row r="44" spans="2:18" ht="21.6" customHeight="1">
      <c r="B44" s="159"/>
      <c r="C44" s="105"/>
      <c r="D44" s="160"/>
      <c r="E44" s="160"/>
      <c r="F44" s="86">
        <v>3</v>
      </c>
      <c r="G44" s="87" t="s">
        <v>129</v>
      </c>
      <c r="H44" s="88"/>
      <c r="I44" s="89"/>
      <c r="J44" s="90">
        <v>1</v>
      </c>
      <c r="K44" s="91" t="s">
        <v>130</v>
      </c>
      <c r="L44" s="56"/>
      <c r="M44" s="57"/>
      <c r="N44" s="58" t="s">
        <v>45</v>
      </c>
      <c r="O44" s="58" t="s">
        <v>46</v>
      </c>
      <c r="P44" s="59" t="s">
        <v>19</v>
      </c>
      <c r="Q44" s="60" t="s">
        <v>170</v>
      </c>
      <c r="R44" s="92"/>
    </row>
    <row r="45" spans="2:18" ht="21.6" customHeight="1">
      <c r="B45" s="159"/>
      <c r="C45" s="105"/>
      <c r="D45" s="160"/>
      <c r="E45" s="160"/>
      <c r="F45" s="104"/>
      <c r="G45" s="105"/>
      <c r="H45" s="160"/>
      <c r="I45" s="161"/>
      <c r="J45" s="90">
        <v>2</v>
      </c>
      <c r="K45" s="91" t="s">
        <v>131</v>
      </c>
      <c r="L45" s="56"/>
      <c r="M45" s="57"/>
      <c r="N45" s="58" t="s">
        <v>45</v>
      </c>
      <c r="O45" s="58" t="s">
        <v>46</v>
      </c>
      <c r="P45" s="59" t="s">
        <v>19</v>
      </c>
      <c r="Q45" s="60" t="s">
        <v>170</v>
      </c>
      <c r="R45" s="92"/>
    </row>
    <row r="46" spans="2:18" ht="21.6" customHeight="1">
      <c r="B46" s="159"/>
      <c r="C46" s="105"/>
      <c r="D46" s="160"/>
      <c r="E46" s="160"/>
      <c r="F46" s="104"/>
      <c r="G46" s="105"/>
      <c r="H46" s="160"/>
      <c r="I46" s="161"/>
      <c r="J46" s="90">
        <v>3</v>
      </c>
      <c r="K46" s="91" t="s">
        <v>132</v>
      </c>
      <c r="L46" s="56"/>
      <c r="M46" s="57"/>
      <c r="N46" s="58" t="s">
        <v>45</v>
      </c>
      <c r="O46" s="58" t="s">
        <v>46</v>
      </c>
      <c r="P46" s="59" t="s">
        <v>19</v>
      </c>
      <c r="Q46" s="60" t="s">
        <v>170</v>
      </c>
      <c r="R46" s="92"/>
    </row>
    <row r="47" spans="2:18" ht="21.6" customHeight="1">
      <c r="B47" s="109">
        <v>8</v>
      </c>
      <c r="C47" s="110" t="s">
        <v>133</v>
      </c>
      <c r="D47" s="111"/>
      <c r="E47" s="111"/>
      <c r="F47" s="153">
        <v>1</v>
      </c>
      <c r="G47" s="154" t="s">
        <v>134</v>
      </c>
      <c r="H47" s="155"/>
      <c r="I47" s="156"/>
      <c r="J47" s="69">
        <v>1</v>
      </c>
      <c r="K47" s="127" t="s">
        <v>135</v>
      </c>
      <c r="L47" s="71"/>
      <c r="M47" s="72"/>
      <c r="N47" s="73" t="s">
        <v>45</v>
      </c>
      <c r="O47" s="73" t="s">
        <v>46</v>
      </c>
      <c r="P47" s="74" t="s">
        <v>19</v>
      </c>
      <c r="Q47" s="75" t="s">
        <v>170</v>
      </c>
      <c r="R47" s="145"/>
    </row>
    <row r="48" spans="2:18" ht="21.6" customHeight="1">
      <c r="B48" s="123"/>
      <c r="C48" s="124"/>
      <c r="D48" s="125"/>
      <c r="E48" s="125"/>
      <c r="F48" s="143">
        <v>2</v>
      </c>
      <c r="G48" s="63" t="s">
        <v>136</v>
      </c>
      <c r="H48" s="64"/>
      <c r="I48" s="144"/>
      <c r="J48" s="65">
        <v>1</v>
      </c>
      <c r="K48" s="70" t="s">
        <v>137</v>
      </c>
      <c r="L48" s="71"/>
      <c r="M48" s="72"/>
      <c r="N48" s="73" t="s">
        <v>45</v>
      </c>
      <c r="O48" s="73" t="s">
        <v>46</v>
      </c>
      <c r="P48" s="74" t="s">
        <v>19</v>
      </c>
      <c r="Q48" s="75" t="s">
        <v>170</v>
      </c>
      <c r="R48" s="145"/>
    </row>
    <row r="49" spans="2:18" ht="21.6" customHeight="1">
      <c r="B49" s="123"/>
      <c r="C49" s="124"/>
      <c r="D49" s="125"/>
      <c r="E49" s="125"/>
      <c r="F49" s="146"/>
      <c r="G49" s="78"/>
      <c r="H49" s="79"/>
      <c r="I49" s="147"/>
      <c r="J49" s="65">
        <v>2</v>
      </c>
      <c r="K49" s="70" t="s">
        <v>138</v>
      </c>
      <c r="L49" s="71"/>
      <c r="M49" s="72"/>
      <c r="N49" s="73" t="s">
        <v>45</v>
      </c>
      <c r="O49" s="73" t="s">
        <v>46</v>
      </c>
      <c r="P49" s="203" t="s">
        <v>19</v>
      </c>
      <c r="Q49" s="206" t="s">
        <v>170</v>
      </c>
      <c r="R49" s="76"/>
    </row>
    <row r="50" spans="2:18" ht="21.6" customHeight="1">
      <c r="B50" s="123"/>
      <c r="C50" s="124"/>
      <c r="D50" s="125"/>
      <c r="E50" s="125"/>
      <c r="F50" s="146"/>
      <c r="G50" s="78"/>
      <c r="H50" s="79"/>
      <c r="I50" s="147"/>
      <c r="J50" s="65">
        <v>3</v>
      </c>
      <c r="K50" s="70" t="s">
        <v>139</v>
      </c>
      <c r="L50" s="71"/>
      <c r="M50" s="72"/>
      <c r="N50" s="73" t="s">
        <v>45</v>
      </c>
      <c r="O50" s="73" t="s">
        <v>46</v>
      </c>
      <c r="P50" s="203" t="s">
        <v>19</v>
      </c>
      <c r="Q50" s="206" t="s">
        <v>170</v>
      </c>
      <c r="R50" s="76"/>
    </row>
    <row r="51" spans="2:18" ht="21.6" customHeight="1">
      <c r="B51" s="123"/>
      <c r="C51" s="124"/>
      <c r="D51" s="125"/>
      <c r="E51" s="125"/>
      <c r="F51" s="146"/>
      <c r="G51" s="78"/>
      <c r="H51" s="79"/>
      <c r="I51" s="147"/>
      <c r="J51" s="65">
        <v>4</v>
      </c>
      <c r="K51" s="70" t="s">
        <v>140</v>
      </c>
      <c r="L51" s="71"/>
      <c r="M51" s="72"/>
      <c r="N51" s="73" t="s">
        <v>45</v>
      </c>
      <c r="O51" s="73" t="s">
        <v>46</v>
      </c>
      <c r="P51" s="203" t="s">
        <v>19</v>
      </c>
      <c r="Q51" s="206" t="s">
        <v>170</v>
      </c>
      <c r="R51" s="76"/>
    </row>
    <row r="52" spans="2:18" ht="21.6" customHeight="1">
      <c r="B52" s="123"/>
      <c r="C52" s="124"/>
      <c r="D52" s="125"/>
      <c r="E52" s="125"/>
      <c r="F52" s="146"/>
      <c r="G52" s="78"/>
      <c r="H52" s="79"/>
      <c r="I52" s="147"/>
      <c r="J52" s="65">
        <v>5</v>
      </c>
      <c r="K52" s="70" t="s">
        <v>141</v>
      </c>
      <c r="L52" s="71"/>
      <c r="M52" s="72"/>
      <c r="N52" s="73" t="s">
        <v>45</v>
      </c>
      <c r="O52" s="73" t="s">
        <v>46</v>
      </c>
      <c r="P52" s="203" t="s">
        <v>19</v>
      </c>
      <c r="Q52" s="206" t="s">
        <v>170</v>
      </c>
      <c r="R52" s="76"/>
    </row>
    <row r="53" spans="2:18" ht="21.6" customHeight="1">
      <c r="B53" s="80">
        <v>9</v>
      </c>
      <c r="C53" s="36" t="s">
        <v>142</v>
      </c>
      <c r="D53" s="37"/>
      <c r="E53" s="37"/>
      <c r="F53" s="51">
        <v>1</v>
      </c>
      <c r="G53" s="52" t="s">
        <v>143</v>
      </c>
      <c r="H53" s="53"/>
      <c r="I53" s="54"/>
      <c r="J53" s="51">
        <v>1</v>
      </c>
      <c r="K53" s="163" t="s">
        <v>144</v>
      </c>
      <c r="L53" s="56"/>
      <c r="M53" s="57"/>
      <c r="N53" s="58" t="s">
        <v>45</v>
      </c>
      <c r="O53" s="58" t="s">
        <v>46</v>
      </c>
      <c r="P53" s="204" t="s">
        <v>19</v>
      </c>
      <c r="Q53" s="207" t="s">
        <v>170</v>
      </c>
      <c r="R53" s="61"/>
    </row>
    <row r="54" spans="2:18" ht="21.6" customHeight="1">
      <c r="B54" s="35"/>
      <c r="C54" s="49"/>
      <c r="D54" s="50"/>
      <c r="E54" s="50"/>
      <c r="F54" s="164">
        <v>2</v>
      </c>
      <c r="G54" s="165" t="s">
        <v>145</v>
      </c>
      <c r="H54" s="166"/>
      <c r="I54" s="167"/>
      <c r="J54" s="90">
        <v>1</v>
      </c>
      <c r="K54" s="91" t="s">
        <v>146</v>
      </c>
      <c r="L54" s="56"/>
      <c r="M54" s="57"/>
      <c r="N54" s="58" t="s">
        <v>45</v>
      </c>
      <c r="O54" s="58" t="s">
        <v>46</v>
      </c>
      <c r="P54" s="204" t="s">
        <v>19</v>
      </c>
      <c r="Q54" s="207" t="s">
        <v>170</v>
      </c>
      <c r="R54" s="61"/>
    </row>
    <row r="55" spans="2:18" ht="21.6" customHeight="1">
      <c r="B55" s="35"/>
      <c r="C55" s="49"/>
      <c r="D55" s="50"/>
      <c r="E55" s="50"/>
      <c r="F55" s="168">
        <v>3</v>
      </c>
      <c r="G55" s="169" t="s">
        <v>147</v>
      </c>
      <c r="H55" s="137"/>
      <c r="I55" s="138"/>
      <c r="J55" s="51">
        <v>1</v>
      </c>
      <c r="K55" s="55" t="s">
        <v>148</v>
      </c>
      <c r="L55" s="56"/>
      <c r="M55" s="57"/>
      <c r="N55" s="58" t="s">
        <v>45</v>
      </c>
      <c r="O55" s="58" t="s">
        <v>46</v>
      </c>
      <c r="P55" s="204" t="s">
        <v>19</v>
      </c>
      <c r="Q55" s="207" t="s">
        <v>170</v>
      </c>
      <c r="R55" s="61"/>
    </row>
    <row r="56" spans="2:18" ht="21.6" customHeight="1">
      <c r="B56" s="35"/>
      <c r="C56" s="49"/>
      <c r="D56" s="50"/>
      <c r="E56" s="50"/>
      <c r="F56" s="86">
        <v>4</v>
      </c>
      <c r="G56" s="88" t="s">
        <v>149</v>
      </c>
      <c r="H56" s="88"/>
      <c r="I56" s="89"/>
      <c r="J56" s="90">
        <v>1</v>
      </c>
      <c r="K56" s="91" t="s">
        <v>150</v>
      </c>
      <c r="L56" s="56"/>
      <c r="M56" s="57"/>
      <c r="N56" s="58" t="s">
        <v>45</v>
      </c>
      <c r="O56" s="58" t="s">
        <v>46</v>
      </c>
      <c r="P56" s="204" t="s">
        <v>19</v>
      </c>
      <c r="Q56" s="207" t="s">
        <v>170</v>
      </c>
      <c r="R56" s="61"/>
    </row>
    <row r="57" spans="2:18" ht="21.6" customHeight="1">
      <c r="B57" s="35"/>
      <c r="C57" s="49"/>
      <c r="D57" s="50"/>
      <c r="E57" s="50"/>
      <c r="F57" s="104"/>
      <c r="G57" s="160"/>
      <c r="H57" s="160"/>
      <c r="I57" s="161"/>
      <c r="J57" s="90">
        <v>2</v>
      </c>
      <c r="K57" s="91" t="s">
        <v>151</v>
      </c>
      <c r="L57" s="56"/>
      <c r="M57" s="57"/>
      <c r="N57" s="58" t="s">
        <v>45</v>
      </c>
      <c r="O57" s="58" t="s">
        <v>46</v>
      </c>
      <c r="P57" s="204" t="s">
        <v>19</v>
      </c>
      <c r="Q57" s="207" t="s">
        <v>170</v>
      </c>
      <c r="R57" s="61"/>
    </row>
    <row r="58" spans="2:18" ht="21.6" customHeight="1">
      <c r="B58" s="35"/>
      <c r="C58" s="49"/>
      <c r="D58" s="50"/>
      <c r="E58" s="50"/>
      <c r="F58" s="168"/>
      <c r="G58" s="137"/>
      <c r="H58" s="137"/>
      <c r="I58" s="138"/>
      <c r="J58" s="51">
        <v>3</v>
      </c>
      <c r="K58" s="55" t="s">
        <v>152</v>
      </c>
      <c r="L58" s="56"/>
      <c r="M58" s="57"/>
      <c r="N58" s="58" t="s">
        <v>45</v>
      </c>
      <c r="O58" s="58" t="s">
        <v>46</v>
      </c>
      <c r="P58" s="204" t="s">
        <v>19</v>
      </c>
      <c r="Q58" s="207" t="s">
        <v>170</v>
      </c>
      <c r="R58" s="61"/>
    </row>
    <row r="59" spans="2:18" ht="13.5">
      <c r="B59" s="191" t="s">
        <v>14</v>
      </c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3"/>
      <c r="N59" s="31">
        <f>COUNTIF(N6:N58,"Y")</f>
        <v>53</v>
      </c>
      <c r="O59" s="31">
        <f>COUNTIF(O6:O58,"OK")</f>
        <v>53</v>
      </c>
      <c r="P59" s="102"/>
      <c r="Q59" s="102"/>
      <c r="R59" s="103"/>
    </row>
    <row r="61" spans="2:18">
      <c r="B61" s="13"/>
      <c r="C61" s="13"/>
      <c r="D61" s="13"/>
      <c r="E61" s="13"/>
      <c r="F61" s="13"/>
      <c r="J61" s="13"/>
    </row>
    <row r="62" spans="2:18">
      <c r="B62" s="13"/>
      <c r="C62" s="13"/>
      <c r="D62" s="13"/>
      <c r="E62" s="13"/>
      <c r="F62" s="13"/>
      <c r="J62" s="13"/>
    </row>
    <row r="63" spans="2:18">
      <c r="B63" s="13"/>
      <c r="C63" s="13"/>
      <c r="D63" s="13"/>
      <c r="E63" s="13"/>
      <c r="F63" s="13"/>
      <c r="J63" s="13"/>
    </row>
  </sheetData>
  <mergeCells count="6">
    <mergeCell ref="B2:E2"/>
    <mergeCell ref="B59:M59"/>
    <mergeCell ref="B5:M5"/>
    <mergeCell ref="F3:I3"/>
    <mergeCell ref="J3:M3"/>
    <mergeCell ref="B3:E3"/>
  </mergeCells>
  <phoneticPr fontId="12" type="noConversion"/>
  <pageMargins left="0.78749999999999998" right="0.78749999999999998" top="1.052777777777778" bottom="1.052777777777778" header="0.78749999999999998" footer="0.78749999999999998"/>
  <pageSetup firstPageNumber="0" orientation="portrait" horizontalDpi="300" verticalDpi="300"/>
  <headerFooter alignWithMargins="0">
    <oddHeader>&amp;C&amp;"Times New Roman,Regular"&amp;12 &amp;A</oddHeader>
    <oddFooter>&amp;C&amp;"Times New Roman,Regular"&amp;12 Page &amp;P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O29"/>
  <sheetViews>
    <sheetView zoomScale="80" zoomScaleNormal="80" workbookViewId="0">
      <selection activeCell="P24" sqref="P24:Q24"/>
    </sheetView>
  </sheetViews>
  <sheetFormatPr defaultRowHeight="12.75"/>
  <cols>
    <col min="1" max="1" width="2.375" style="13" customWidth="1"/>
    <col min="2" max="2" width="4.625" style="14" customWidth="1"/>
    <col min="3" max="3" width="10.625" style="14" customWidth="1"/>
    <col min="4" max="4" width="1.875" style="14" customWidth="1"/>
    <col min="5" max="5" width="4.125" style="14" customWidth="1"/>
    <col min="6" max="6" width="3.375" style="14" customWidth="1"/>
    <col min="7" max="7" width="10.625" style="15" customWidth="1"/>
    <col min="8" max="8" width="11.125" style="15" customWidth="1"/>
    <col min="9" max="9" width="2.875" style="15" customWidth="1"/>
    <col min="10" max="10" width="4.625" style="14" customWidth="1"/>
    <col min="11" max="11" width="17.875" style="13" customWidth="1"/>
    <col min="12" max="12" width="8.875" style="15" customWidth="1"/>
    <col min="13" max="13" width="48.875" style="15" customWidth="1"/>
    <col min="14" max="14" width="11.375" style="14" customWidth="1"/>
    <col min="15" max="15" width="8.875" style="14" customWidth="1"/>
    <col min="16" max="16" width="17.375" style="13" customWidth="1"/>
    <col min="17" max="17" width="12.5" style="13" customWidth="1"/>
    <col min="18" max="18" width="29.75" style="14" customWidth="1"/>
    <col min="19" max="249" width="9" style="13" customWidth="1"/>
    <col min="250" max="250" width="9" style="16" customWidth="1"/>
    <col min="251" max="16384" width="9" style="16"/>
  </cols>
  <sheetData>
    <row r="1" spans="2:18" ht="13.5">
      <c r="F1" t="s">
        <v>0</v>
      </c>
    </row>
    <row r="2" spans="2:18" ht="19.5" customHeight="1">
      <c r="B2" s="189" t="s">
        <v>1</v>
      </c>
      <c r="C2" s="190"/>
      <c r="D2" s="190"/>
      <c r="E2" s="190"/>
      <c r="F2" s="17" t="s">
        <v>2</v>
      </c>
      <c r="G2" s="18"/>
      <c r="H2" s="18"/>
      <c r="I2" s="19"/>
      <c r="J2" s="13"/>
      <c r="L2" s="13"/>
      <c r="M2" s="13"/>
      <c r="N2" s="13"/>
      <c r="O2" s="13"/>
      <c r="R2" s="13"/>
    </row>
    <row r="3" spans="2:18" ht="21" customHeight="1">
      <c r="B3" s="188" t="s">
        <v>3</v>
      </c>
      <c r="C3" s="185"/>
      <c r="D3" s="185"/>
      <c r="E3" s="185"/>
      <c r="F3" s="184" t="s">
        <v>4</v>
      </c>
      <c r="G3" s="185"/>
      <c r="H3" s="185"/>
      <c r="I3" s="185"/>
      <c r="J3" s="186" t="s">
        <v>5</v>
      </c>
      <c r="K3" s="185"/>
      <c r="L3" s="185"/>
      <c r="M3" s="187"/>
      <c r="N3" s="21" t="s">
        <v>6</v>
      </c>
      <c r="O3" s="21" t="s">
        <v>7</v>
      </c>
      <c r="P3" s="20" t="s">
        <v>8</v>
      </c>
      <c r="Q3" s="20" t="s">
        <v>9</v>
      </c>
      <c r="R3" s="22" t="s">
        <v>10</v>
      </c>
    </row>
    <row r="4" spans="2:18">
      <c r="B4" s="23" t="s">
        <v>11</v>
      </c>
      <c r="C4" s="24"/>
      <c r="D4" s="25"/>
      <c r="E4" s="26"/>
      <c r="F4" s="27" t="s">
        <v>11</v>
      </c>
      <c r="G4" s="24"/>
      <c r="H4" s="25"/>
      <c r="I4" s="26"/>
      <c r="J4" s="27" t="s">
        <v>11</v>
      </c>
      <c r="K4" s="28"/>
      <c r="L4" s="25"/>
      <c r="M4" s="25"/>
      <c r="N4" s="29" t="s">
        <v>12</v>
      </c>
      <c r="O4" s="29" t="s">
        <v>13</v>
      </c>
      <c r="P4" s="29"/>
      <c r="Q4" s="29"/>
      <c r="R4" s="30"/>
    </row>
    <row r="5" spans="2:18" ht="13.5">
      <c r="B5" s="181" t="s">
        <v>14</v>
      </c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3"/>
      <c r="N5" s="31">
        <f>COUNTIF(N6:N24,"Y")</f>
        <v>19</v>
      </c>
      <c r="O5" s="31">
        <f>COUNTIF(O6:O24,"OK")</f>
        <v>19</v>
      </c>
      <c r="P5" s="33"/>
      <c r="Q5" s="33"/>
      <c r="R5" s="34"/>
    </row>
    <row r="6" spans="2:18" ht="26.45" customHeight="1">
      <c r="B6" s="109">
        <v>1</v>
      </c>
      <c r="C6" s="110" t="s">
        <v>56</v>
      </c>
      <c r="D6" s="111"/>
      <c r="E6" s="111"/>
      <c r="F6" s="112">
        <v>1</v>
      </c>
      <c r="G6" s="113" t="s">
        <v>69</v>
      </c>
      <c r="H6" s="114"/>
      <c r="I6" s="115"/>
      <c r="J6" s="112">
        <v>1</v>
      </c>
      <c r="K6" s="116" t="s">
        <v>70</v>
      </c>
      <c r="L6" s="117"/>
      <c r="M6" s="118"/>
      <c r="N6" s="170" t="s">
        <v>45</v>
      </c>
      <c r="O6" s="170" t="s">
        <v>46</v>
      </c>
      <c r="P6" s="171" t="s">
        <v>19</v>
      </c>
      <c r="Q6" s="121" t="s">
        <v>170</v>
      </c>
      <c r="R6" s="172" t="s">
        <v>47</v>
      </c>
    </row>
    <row r="7" spans="2:18" ht="21.6" customHeight="1">
      <c r="B7" s="123"/>
      <c r="C7" s="124"/>
      <c r="D7" s="125"/>
      <c r="E7" s="125"/>
      <c r="F7" s="69">
        <v>2</v>
      </c>
      <c r="G7" s="126" t="s">
        <v>71</v>
      </c>
      <c r="H7" s="67"/>
      <c r="I7" s="68"/>
      <c r="J7" s="69">
        <v>1</v>
      </c>
      <c r="K7" s="127" t="s">
        <v>72</v>
      </c>
      <c r="L7" s="71"/>
      <c r="M7" s="72"/>
      <c r="N7" s="73" t="s">
        <v>45</v>
      </c>
      <c r="O7" s="73" t="s">
        <v>46</v>
      </c>
      <c r="P7" s="74" t="s">
        <v>19</v>
      </c>
      <c r="Q7" s="75" t="s">
        <v>170</v>
      </c>
      <c r="R7" s="76"/>
    </row>
    <row r="8" spans="2:18" ht="21.6" customHeight="1">
      <c r="B8" s="80">
        <v>2</v>
      </c>
      <c r="C8" s="36" t="s">
        <v>31</v>
      </c>
      <c r="D8" s="37"/>
      <c r="E8" s="37"/>
      <c r="F8" s="51">
        <v>1</v>
      </c>
      <c r="G8" s="52" t="s">
        <v>43</v>
      </c>
      <c r="H8" s="53"/>
      <c r="I8" s="54"/>
      <c r="J8" s="51">
        <v>1</v>
      </c>
      <c r="K8" s="55" t="s">
        <v>153</v>
      </c>
      <c r="L8" s="56"/>
      <c r="M8" s="57"/>
      <c r="N8" s="58" t="s">
        <v>45</v>
      </c>
      <c r="O8" s="58" t="s">
        <v>46</v>
      </c>
      <c r="P8" s="59" t="s">
        <v>19</v>
      </c>
      <c r="Q8" s="60" t="s">
        <v>170</v>
      </c>
      <c r="R8" s="61"/>
    </row>
    <row r="9" spans="2:18" ht="21.6" customHeight="1">
      <c r="B9" s="35"/>
      <c r="C9" s="49"/>
      <c r="D9" s="50"/>
      <c r="E9" s="50"/>
      <c r="F9" s="51">
        <v>2</v>
      </c>
      <c r="G9" s="52" t="s">
        <v>78</v>
      </c>
      <c r="H9" s="53"/>
      <c r="I9" s="54"/>
      <c r="J9" s="51">
        <v>1</v>
      </c>
      <c r="K9" s="55" t="s">
        <v>79</v>
      </c>
      <c r="L9" s="56"/>
      <c r="M9" s="57"/>
      <c r="N9" s="58" t="s">
        <v>45</v>
      </c>
      <c r="O9" s="58" t="s">
        <v>46</v>
      </c>
      <c r="P9" s="59" t="s">
        <v>19</v>
      </c>
      <c r="Q9" s="60" t="s">
        <v>170</v>
      </c>
      <c r="R9" s="61"/>
    </row>
    <row r="10" spans="2:18" ht="21.6" customHeight="1">
      <c r="B10" s="35"/>
      <c r="C10" s="49"/>
      <c r="D10" s="50"/>
      <c r="E10" s="50"/>
      <c r="F10" s="86">
        <v>3</v>
      </c>
      <c r="G10" s="87" t="s">
        <v>154</v>
      </c>
      <c r="H10" s="88"/>
      <c r="I10" s="89"/>
      <c r="J10" s="90">
        <v>1</v>
      </c>
      <c r="K10" s="91" t="s">
        <v>83</v>
      </c>
      <c r="L10" s="56"/>
      <c r="M10" s="57"/>
      <c r="N10" s="58" t="s">
        <v>45</v>
      </c>
      <c r="O10" s="58" t="s">
        <v>46</v>
      </c>
      <c r="P10" s="59" t="s">
        <v>19</v>
      </c>
      <c r="Q10" s="60" t="s">
        <v>170</v>
      </c>
      <c r="R10" s="61"/>
    </row>
    <row r="11" spans="2:18" ht="21.6" customHeight="1">
      <c r="B11" s="35"/>
      <c r="C11" s="49"/>
      <c r="D11" s="50"/>
      <c r="E11" s="50"/>
      <c r="F11" s="164"/>
      <c r="G11" s="165"/>
      <c r="H11" s="166"/>
      <c r="I11" s="167"/>
      <c r="J11" s="90">
        <v>2</v>
      </c>
      <c r="K11" s="91" t="s">
        <v>155</v>
      </c>
      <c r="L11" s="56"/>
      <c r="M11" s="57"/>
      <c r="N11" s="58" t="s">
        <v>45</v>
      </c>
      <c r="O11" s="58" t="s">
        <v>46</v>
      </c>
      <c r="P11" s="59" t="s">
        <v>19</v>
      </c>
      <c r="Q11" s="60" t="s">
        <v>170</v>
      </c>
      <c r="R11" s="61"/>
    </row>
    <row r="12" spans="2:18" ht="21.6" customHeight="1">
      <c r="B12" s="109">
        <v>3</v>
      </c>
      <c r="C12" s="110" t="s">
        <v>58</v>
      </c>
      <c r="D12" s="111"/>
      <c r="E12" s="111"/>
      <c r="F12" s="112">
        <v>1</v>
      </c>
      <c r="G12" s="113" t="s">
        <v>86</v>
      </c>
      <c r="H12" s="114"/>
      <c r="I12" s="115"/>
      <c r="J12" s="112">
        <v>1</v>
      </c>
      <c r="K12" s="116" t="s">
        <v>87</v>
      </c>
      <c r="L12" s="117"/>
      <c r="M12" s="118"/>
      <c r="N12" s="119" t="s">
        <v>45</v>
      </c>
      <c r="O12" s="119" t="s">
        <v>46</v>
      </c>
      <c r="P12" s="120" t="s">
        <v>19</v>
      </c>
      <c r="Q12" s="121" t="s">
        <v>170</v>
      </c>
      <c r="R12" s="142"/>
    </row>
    <row r="13" spans="2:18" ht="21.6" customHeight="1">
      <c r="B13" s="123"/>
      <c r="C13" s="124"/>
      <c r="D13" s="125"/>
      <c r="E13" s="125"/>
      <c r="F13" s="153">
        <v>2</v>
      </c>
      <c r="G13" s="154" t="s">
        <v>88</v>
      </c>
      <c r="H13" s="155"/>
      <c r="I13" s="156"/>
      <c r="J13" s="69">
        <v>1</v>
      </c>
      <c r="K13" s="127" t="s">
        <v>89</v>
      </c>
      <c r="L13" s="71"/>
      <c r="M13" s="72"/>
      <c r="N13" s="73" t="s">
        <v>45</v>
      </c>
      <c r="O13" s="73" t="s">
        <v>46</v>
      </c>
      <c r="P13" s="74" t="s">
        <v>19</v>
      </c>
      <c r="Q13" s="75" t="s">
        <v>170</v>
      </c>
      <c r="R13" s="145"/>
    </row>
    <row r="14" spans="2:18" ht="21.6" customHeight="1">
      <c r="B14" s="123"/>
      <c r="C14" s="124"/>
      <c r="D14" s="125"/>
      <c r="E14" s="125"/>
      <c r="F14" s="112"/>
      <c r="G14" s="113"/>
      <c r="H14" s="114"/>
      <c r="I14" s="115"/>
      <c r="J14" s="69">
        <v>2</v>
      </c>
      <c r="K14" s="127" t="s">
        <v>90</v>
      </c>
      <c r="L14" s="71"/>
      <c r="M14" s="72"/>
      <c r="N14" s="73" t="s">
        <v>45</v>
      </c>
      <c r="O14" s="73" t="s">
        <v>46</v>
      </c>
      <c r="P14" s="74" t="s">
        <v>19</v>
      </c>
      <c r="Q14" s="75" t="s">
        <v>170</v>
      </c>
      <c r="R14" s="145"/>
    </row>
    <row r="15" spans="2:18" ht="21.6" customHeight="1">
      <c r="B15" s="123"/>
      <c r="C15" s="124"/>
      <c r="D15" s="125"/>
      <c r="E15" s="125"/>
      <c r="F15" s="153">
        <v>3</v>
      </c>
      <c r="G15" s="154" t="s">
        <v>91</v>
      </c>
      <c r="H15" s="155"/>
      <c r="I15" s="156"/>
      <c r="J15" s="153">
        <v>1</v>
      </c>
      <c r="K15" s="173" t="s">
        <v>92</v>
      </c>
      <c r="L15" s="149"/>
      <c r="M15" s="150"/>
      <c r="N15" s="151" t="s">
        <v>45</v>
      </c>
      <c r="O15" s="151" t="s">
        <v>46</v>
      </c>
      <c r="P15" s="120" t="s">
        <v>19</v>
      </c>
      <c r="Q15" s="121" t="s">
        <v>170</v>
      </c>
      <c r="R15" s="152"/>
    </row>
    <row r="16" spans="2:18" ht="21.6" customHeight="1">
      <c r="B16" s="123"/>
      <c r="C16" s="124"/>
      <c r="D16" s="125"/>
      <c r="E16" s="125"/>
      <c r="F16" s="153">
        <v>4</v>
      </c>
      <c r="G16" s="154" t="s">
        <v>93</v>
      </c>
      <c r="H16" s="155"/>
      <c r="I16" s="156"/>
      <c r="J16" s="69">
        <v>1</v>
      </c>
      <c r="K16" s="127" t="s">
        <v>94</v>
      </c>
      <c r="L16" s="71"/>
      <c r="M16" s="72"/>
      <c r="N16" s="73" t="s">
        <v>45</v>
      </c>
      <c r="O16" s="73" t="s">
        <v>46</v>
      </c>
      <c r="P16" s="74" t="s">
        <v>19</v>
      </c>
      <c r="Q16" s="75" t="s">
        <v>170</v>
      </c>
      <c r="R16" s="145"/>
    </row>
    <row r="17" spans="2:18" ht="21.6" customHeight="1">
      <c r="B17" s="123"/>
      <c r="C17" s="124"/>
      <c r="D17" s="125"/>
      <c r="E17" s="125"/>
      <c r="F17" s="112"/>
      <c r="G17" s="113"/>
      <c r="H17" s="114"/>
      <c r="I17" s="115"/>
      <c r="J17" s="69">
        <v>2</v>
      </c>
      <c r="K17" s="127" t="s">
        <v>95</v>
      </c>
      <c r="L17" s="71"/>
      <c r="M17" s="72"/>
      <c r="N17" s="73" t="s">
        <v>45</v>
      </c>
      <c r="O17" s="73" t="s">
        <v>46</v>
      </c>
      <c r="P17" s="74" t="s">
        <v>19</v>
      </c>
      <c r="Q17" s="75" t="s">
        <v>170</v>
      </c>
      <c r="R17" s="145"/>
    </row>
    <row r="18" spans="2:18" ht="21.6" customHeight="1">
      <c r="B18" s="123"/>
      <c r="C18" s="124"/>
      <c r="D18" s="125"/>
      <c r="E18" s="125"/>
      <c r="F18" s="112"/>
      <c r="G18" s="113"/>
      <c r="H18" s="114"/>
      <c r="I18" s="115"/>
      <c r="J18" s="69">
        <v>3</v>
      </c>
      <c r="K18" s="127" t="s">
        <v>97</v>
      </c>
      <c r="L18" s="71"/>
      <c r="M18" s="72"/>
      <c r="N18" s="73" t="s">
        <v>45</v>
      </c>
      <c r="O18" s="73" t="s">
        <v>46</v>
      </c>
      <c r="P18" s="74" t="s">
        <v>19</v>
      </c>
      <c r="Q18" s="75" t="s">
        <v>170</v>
      </c>
      <c r="R18" s="145"/>
    </row>
    <row r="19" spans="2:18" ht="21.6" customHeight="1">
      <c r="B19" s="158">
        <v>4</v>
      </c>
      <c r="C19" s="87" t="s">
        <v>112</v>
      </c>
      <c r="D19" s="88"/>
      <c r="E19" s="88"/>
      <c r="F19" s="86">
        <v>1</v>
      </c>
      <c r="G19" s="87" t="s">
        <v>113</v>
      </c>
      <c r="H19" s="88"/>
      <c r="I19" s="89"/>
      <c r="J19" s="90">
        <v>1</v>
      </c>
      <c r="K19" s="91" t="s">
        <v>114</v>
      </c>
      <c r="L19" s="56"/>
      <c r="M19" s="57"/>
      <c r="N19" s="58" t="s">
        <v>45</v>
      </c>
      <c r="O19" s="58" t="s">
        <v>46</v>
      </c>
      <c r="P19" s="59" t="s">
        <v>19</v>
      </c>
      <c r="Q19" s="60" t="s">
        <v>170</v>
      </c>
      <c r="R19" s="92"/>
    </row>
    <row r="20" spans="2:18" ht="21.6" customHeight="1">
      <c r="B20" s="62">
        <v>5</v>
      </c>
      <c r="C20" s="63" t="s">
        <v>156</v>
      </c>
      <c r="D20" s="64"/>
      <c r="E20" s="144"/>
      <c r="F20" s="143">
        <v>1</v>
      </c>
      <c r="G20" s="63" t="s">
        <v>157</v>
      </c>
      <c r="H20" s="64"/>
      <c r="I20" s="144"/>
      <c r="J20" s="65">
        <v>1</v>
      </c>
      <c r="K20" s="70" t="s">
        <v>158</v>
      </c>
      <c r="L20" s="71"/>
      <c r="M20" s="72"/>
      <c r="N20" s="73" t="s">
        <v>45</v>
      </c>
      <c r="O20" s="73" t="s">
        <v>46</v>
      </c>
      <c r="P20" s="74" t="s">
        <v>19</v>
      </c>
      <c r="Q20" s="75" t="s">
        <v>170</v>
      </c>
      <c r="R20" s="145"/>
    </row>
    <row r="21" spans="2:18" ht="21.6" customHeight="1">
      <c r="B21" s="123"/>
      <c r="C21" s="78"/>
      <c r="D21" s="79"/>
      <c r="E21" s="147"/>
      <c r="F21" s="143">
        <v>2</v>
      </c>
      <c r="G21" s="63" t="s">
        <v>159</v>
      </c>
      <c r="H21" s="64"/>
      <c r="I21" s="144"/>
      <c r="J21" s="65">
        <v>1</v>
      </c>
      <c r="K21" s="70" t="s">
        <v>160</v>
      </c>
      <c r="L21" s="71"/>
      <c r="M21" s="72"/>
      <c r="N21" s="73" t="s">
        <v>45</v>
      </c>
      <c r="O21" s="73" t="s">
        <v>46</v>
      </c>
      <c r="P21" s="74" t="s">
        <v>19</v>
      </c>
      <c r="Q21" s="75" t="s">
        <v>170</v>
      </c>
      <c r="R21" s="145"/>
    </row>
    <row r="22" spans="2:18" ht="21.6" customHeight="1">
      <c r="B22" s="123"/>
      <c r="C22" s="78"/>
      <c r="D22" s="79"/>
      <c r="E22" s="147"/>
      <c r="F22" s="131"/>
      <c r="G22" s="174"/>
      <c r="H22" s="175"/>
      <c r="I22" s="176"/>
      <c r="J22" s="65">
        <v>2</v>
      </c>
      <c r="K22" s="70" t="s">
        <v>161</v>
      </c>
      <c r="L22" s="71"/>
      <c r="M22" s="72"/>
      <c r="N22" s="73" t="s">
        <v>45</v>
      </c>
      <c r="O22" s="73" t="s">
        <v>46</v>
      </c>
      <c r="P22" s="74" t="s">
        <v>19</v>
      </c>
      <c r="Q22" s="75" t="s">
        <v>170</v>
      </c>
      <c r="R22" s="145"/>
    </row>
    <row r="23" spans="2:18" ht="21.6" customHeight="1">
      <c r="B23" s="123"/>
      <c r="C23" s="78"/>
      <c r="D23" s="79"/>
      <c r="E23" s="79"/>
      <c r="F23" s="143">
        <v>3</v>
      </c>
      <c r="G23" s="63" t="s">
        <v>162</v>
      </c>
      <c r="H23" s="64"/>
      <c r="I23" s="144"/>
      <c r="J23" s="65">
        <v>1</v>
      </c>
      <c r="K23" s="70" t="s">
        <v>163</v>
      </c>
      <c r="L23" s="71"/>
      <c r="M23" s="72"/>
      <c r="N23" s="73" t="s">
        <v>45</v>
      </c>
      <c r="O23" s="73" t="s">
        <v>46</v>
      </c>
      <c r="P23" s="74" t="s">
        <v>19</v>
      </c>
      <c r="Q23" s="75" t="s">
        <v>170</v>
      </c>
      <c r="R23" s="145"/>
    </row>
    <row r="24" spans="2:18" ht="21.6" customHeight="1">
      <c r="B24" s="123"/>
      <c r="C24" s="78"/>
      <c r="D24" s="79"/>
      <c r="E24" s="79"/>
      <c r="F24" s="143">
        <v>4</v>
      </c>
      <c r="G24" s="66" t="s">
        <v>164</v>
      </c>
      <c r="H24" s="129"/>
      <c r="I24" s="130"/>
      <c r="J24" s="65">
        <v>1</v>
      </c>
      <c r="K24" s="70" t="s">
        <v>165</v>
      </c>
      <c r="L24" s="71"/>
      <c r="M24" s="72"/>
      <c r="N24" s="73" t="s">
        <v>45</v>
      </c>
      <c r="O24" s="73" t="s">
        <v>46</v>
      </c>
      <c r="P24" s="208" t="s">
        <v>19</v>
      </c>
      <c r="Q24" s="206" t="s">
        <v>170</v>
      </c>
      <c r="R24" s="76"/>
    </row>
    <row r="25" spans="2:18" ht="13.5">
      <c r="B25" s="191" t="s">
        <v>14</v>
      </c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3"/>
      <c r="N25" s="31">
        <f>COUNTIF(N6:N24,"Y")</f>
        <v>19</v>
      </c>
      <c r="O25" s="31">
        <f>COUNTIF(O6:O24,"OK")</f>
        <v>19</v>
      </c>
      <c r="P25" s="102"/>
      <c r="Q25" s="102"/>
      <c r="R25" s="103"/>
    </row>
    <row r="27" spans="2:18">
      <c r="B27" s="13"/>
      <c r="C27" s="13"/>
      <c r="D27" s="13"/>
      <c r="E27" s="13"/>
      <c r="F27" s="13"/>
      <c r="J27" s="13"/>
    </row>
    <row r="28" spans="2:18">
      <c r="B28" s="13"/>
      <c r="C28" s="13"/>
      <c r="D28" s="13"/>
      <c r="E28" s="13"/>
      <c r="F28" s="13"/>
      <c r="J28" s="13"/>
    </row>
    <row r="29" spans="2:18">
      <c r="B29" s="13"/>
      <c r="C29" s="13"/>
      <c r="D29" s="13"/>
      <c r="E29" s="13"/>
      <c r="F29" s="13"/>
      <c r="J29" s="13"/>
    </row>
  </sheetData>
  <mergeCells count="6">
    <mergeCell ref="B2:E2"/>
    <mergeCell ref="B25:M25"/>
    <mergeCell ref="B5:M5"/>
    <mergeCell ref="F3:I3"/>
    <mergeCell ref="J3:M3"/>
    <mergeCell ref="B3:E3"/>
  </mergeCells>
  <phoneticPr fontId="12" type="noConversion"/>
  <pageMargins left="0.78749999999999998" right="0.78749999999999998" top="1.052777777777778" bottom="1.052777777777778" header="0.78749999999999998" footer="0.78749999999999998"/>
  <pageSetup firstPageNumber="0" orientation="portrait" horizontalDpi="300" verticalDpi="300"/>
  <headerFooter alignWithMargins="0">
    <oddHeader>&amp;C&amp;"Times New Roman,Regular"&amp;12 &amp;A</oddHeader>
    <oddFooter>&amp;C&amp;"Times New Roman,Regular"&amp;12 Page 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O21"/>
  <sheetViews>
    <sheetView tabSelected="1" zoomScale="80" zoomScaleNormal="80" workbookViewId="0">
      <selection activeCell="O17" sqref="O17"/>
    </sheetView>
  </sheetViews>
  <sheetFormatPr defaultRowHeight="12.75"/>
  <cols>
    <col min="1" max="1" width="2.375" style="13" customWidth="1"/>
    <col min="2" max="2" width="4.625" style="14" customWidth="1"/>
    <col min="3" max="3" width="10.625" style="14" customWidth="1"/>
    <col min="4" max="5" width="1.875" style="14" customWidth="1"/>
    <col min="6" max="6" width="3.375" style="14" customWidth="1"/>
    <col min="7" max="7" width="10.625" style="15" customWidth="1"/>
    <col min="8" max="8" width="11.125" style="15" customWidth="1"/>
    <col min="9" max="9" width="2.875" style="15" customWidth="1"/>
    <col min="10" max="10" width="4.625" style="14" customWidth="1"/>
    <col min="11" max="11" width="17.875" style="13" customWidth="1"/>
    <col min="12" max="12" width="8.875" style="15" customWidth="1"/>
    <col min="13" max="13" width="30.5" style="15" customWidth="1"/>
    <col min="14" max="14" width="12.375" style="14" customWidth="1"/>
    <col min="15" max="15" width="8.875" style="14" customWidth="1"/>
    <col min="16" max="16" width="16.75" style="13" customWidth="1"/>
    <col min="17" max="17" width="13.875" style="13" customWidth="1"/>
    <col min="18" max="18" width="38.625" style="14" bestFit="1" customWidth="1"/>
    <col min="19" max="249" width="9" style="13" customWidth="1"/>
    <col min="250" max="250" width="9" style="16" customWidth="1"/>
    <col min="251" max="16384" width="9" style="16"/>
  </cols>
  <sheetData>
    <row r="1" spans="2:18" ht="13.5">
      <c r="F1" t="s">
        <v>0</v>
      </c>
    </row>
    <row r="2" spans="2:18" ht="19.5" customHeight="1">
      <c r="B2" s="189" t="s">
        <v>1</v>
      </c>
      <c r="C2" s="190"/>
      <c r="D2" s="190"/>
      <c r="E2" s="190"/>
      <c r="F2" s="17" t="s">
        <v>2</v>
      </c>
      <c r="G2" s="18"/>
      <c r="H2" s="18"/>
      <c r="I2" s="19"/>
      <c r="J2" s="13"/>
      <c r="L2" s="13"/>
      <c r="M2" s="13"/>
      <c r="N2" s="13"/>
      <c r="O2" s="13"/>
      <c r="R2" s="13"/>
    </row>
    <row r="3" spans="2:18" ht="35.65" customHeight="1">
      <c r="B3" s="188" t="s">
        <v>3</v>
      </c>
      <c r="C3" s="185"/>
      <c r="D3" s="185"/>
      <c r="E3" s="185"/>
      <c r="F3" s="184" t="s">
        <v>4</v>
      </c>
      <c r="G3" s="185"/>
      <c r="H3" s="185"/>
      <c r="I3" s="185"/>
      <c r="J3" s="186" t="s">
        <v>5</v>
      </c>
      <c r="K3" s="185"/>
      <c r="L3" s="185"/>
      <c r="M3" s="187"/>
      <c r="N3" s="21" t="s">
        <v>6</v>
      </c>
      <c r="O3" s="21" t="s">
        <v>7</v>
      </c>
      <c r="P3" s="20" t="s">
        <v>8</v>
      </c>
      <c r="Q3" s="20" t="s">
        <v>9</v>
      </c>
      <c r="R3" s="22" t="s">
        <v>10</v>
      </c>
    </row>
    <row r="4" spans="2:18">
      <c r="B4" s="23" t="s">
        <v>11</v>
      </c>
      <c r="C4" s="24"/>
      <c r="D4" s="25"/>
      <c r="E4" s="26"/>
      <c r="F4" s="27" t="s">
        <v>11</v>
      </c>
      <c r="G4" s="24"/>
      <c r="H4" s="25"/>
      <c r="I4" s="26"/>
      <c r="J4" s="27" t="s">
        <v>11</v>
      </c>
      <c r="K4" s="28"/>
      <c r="L4" s="25"/>
      <c r="M4" s="25"/>
      <c r="N4" s="29" t="s">
        <v>12</v>
      </c>
      <c r="O4" s="29" t="s">
        <v>13</v>
      </c>
      <c r="P4" s="29"/>
      <c r="Q4" s="29"/>
      <c r="R4" s="30"/>
    </row>
    <row r="5" spans="2:18" ht="13.5">
      <c r="B5" s="181" t="s">
        <v>14</v>
      </c>
      <c r="C5" s="182"/>
      <c r="D5" s="182"/>
      <c r="E5" s="182"/>
      <c r="F5" s="182"/>
      <c r="G5" s="182"/>
      <c r="H5" s="182"/>
      <c r="I5" s="182"/>
      <c r="J5" s="182"/>
      <c r="K5" s="182"/>
      <c r="L5" s="182"/>
      <c r="M5" s="183"/>
      <c r="N5" s="177">
        <f>COUNTIF(N6:N15,"Y")</f>
        <v>10</v>
      </c>
      <c r="O5" s="177">
        <f>COUNTIF(O6:O15,"OK")</f>
        <v>0</v>
      </c>
      <c r="P5" s="33"/>
      <c r="Q5" s="33"/>
      <c r="R5" s="34"/>
    </row>
    <row r="6" spans="2:18" ht="32.25" customHeight="1" thickTop="1" thickBot="1">
      <c r="B6" s="109">
        <v>1</v>
      </c>
      <c r="C6" s="110" t="s">
        <v>15</v>
      </c>
      <c r="D6" s="111"/>
      <c r="E6" s="111"/>
      <c r="F6" s="112">
        <v>1</v>
      </c>
      <c r="G6" s="113" t="s">
        <v>16</v>
      </c>
      <c r="H6" s="114"/>
      <c r="I6" s="115"/>
      <c r="J6" s="112">
        <v>1</v>
      </c>
      <c r="K6" s="116" t="s">
        <v>17</v>
      </c>
      <c r="L6" s="117"/>
      <c r="M6" s="118"/>
      <c r="N6" s="170" t="s">
        <v>45</v>
      </c>
      <c r="O6" s="170" t="s">
        <v>18</v>
      </c>
      <c r="P6" s="171" t="s">
        <v>19</v>
      </c>
      <c r="Q6" s="121" t="s">
        <v>170</v>
      </c>
      <c r="R6" s="172" t="s">
        <v>20</v>
      </c>
    </row>
    <row r="7" spans="2:18" ht="21.6" customHeight="1" thickTop="1" thickBot="1">
      <c r="B7" s="123"/>
      <c r="C7" s="124"/>
      <c r="D7" s="125"/>
      <c r="E7" s="125"/>
      <c r="F7" s="69">
        <v>2</v>
      </c>
      <c r="G7" s="126" t="s">
        <v>21</v>
      </c>
      <c r="H7" s="67"/>
      <c r="I7" s="68"/>
      <c r="J7" s="69">
        <v>1</v>
      </c>
      <c r="K7" s="127" t="s">
        <v>17</v>
      </c>
      <c r="L7" s="71"/>
      <c r="M7" s="72"/>
      <c r="N7" s="170" t="s">
        <v>45</v>
      </c>
      <c r="O7" s="73" t="s">
        <v>18</v>
      </c>
      <c r="P7" s="74" t="s">
        <v>19</v>
      </c>
      <c r="Q7" s="75" t="s">
        <v>170</v>
      </c>
      <c r="R7" s="76" t="s">
        <v>20</v>
      </c>
    </row>
    <row r="8" spans="2:18" ht="21.6" customHeight="1" thickTop="1" thickBot="1">
      <c r="B8" s="123"/>
      <c r="C8" s="124"/>
      <c r="D8" s="125"/>
      <c r="E8" s="125"/>
      <c r="F8" s="69">
        <v>3</v>
      </c>
      <c r="G8" s="126" t="s">
        <v>22</v>
      </c>
      <c r="H8" s="67"/>
      <c r="I8" s="68"/>
      <c r="J8" s="69">
        <v>1</v>
      </c>
      <c r="K8" s="127" t="s">
        <v>23</v>
      </c>
      <c r="L8" s="71"/>
      <c r="M8" s="72"/>
      <c r="N8" s="170" t="s">
        <v>45</v>
      </c>
      <c r="O8" s="73" t="s">
        <v>18</v>
      </c>
      <c r="P8" s="74" t="s">
        <v>19</v>
      </c>
      <c r="Q8" s="75" t="s">
        <v>170</v>
      </c>
      <c r="R8" s="76" t="s">
        <v>20</v>
      </c>
    </row>
    <row r="9" spans="2:18" ht="21.6" customHeight="1" thickTop="1" thickBot="1">
      <c r="B9" s="123"/>
      <c r="C9" s="124"/>
      <c r="D9" s="125"/>
      <c r="E9" s="125"/>
      <c r="F9" s="69">
        <v>4</v>
      </c>
      <c r="G9" s="126" t="s">
        <v>24</v>
      </c>
      <c r="H9" s="67"/>
      <c r="I9" s="68"/>
      <c r="J9" s="69">
        <v>1</v>
      </c>
      <c r="K9" s="127" t="s">
        <v>25</v>
      </c>
      <c r="L9" s="71"/>
      <c r="M9" s="72"/>
      <c r="N9" s="170" t="s">
        <v>45</v>
      </c>
      <c r="O9" s="73" t="s">
        <v>18</v>
      </c>
      <c r="P9" s="74" t="s">
        <v>19</v>
      </c>
      <c r="Q9" s="75" t="s">
        <v>170</v>
      </c>
      <c r="R9" s="76" t="s">
        <v>20</v>
      </c>
    </row>
    <row r="10" spans="2:18" ht="21.6" customHeight="1" thickTop="1" thickBot="1">
      <c r="B10" s="123"/>
      <c r="C10" s="124"/>
      <c r="D10" s="125"/>
      <c r="E10" s="125"/>
      <c r="F10" s="69">
        <v>5</v>
      </c>
      <c r="G10" s="126" t="s">
        <v>26</v>
      </c>
      <c r="H10" s="67"/>
      <c r="I10" s="68"/>
      <c r="J10" s="69">
        <v>1</v>
      </c>
      <c r="K10" s="127" t="s">
        <v>27</v>
      </c>
      <c r="L10" s="71"/>
      <c r="M10" s="72"/>
      <c r="N10" s="170" t="s">
        <v>45</v>
      </c>
      <c r="O10" s="73" t="s">
        <v>18</v>
      </c>
      <c r="P10" s="74" t="s">
        <v>19</v>
      </c>
      <c r="Q10" s="75" t="s">
        <v>170</v>
      </c>
      <c r="R10" s="76" t="s">
        <v>20</v>
      </c>
    </row>
    <row r="11" spans="2:18" ht="21.6" customHeight="1" thickTop="1" thickBot="1">
      <c r="B11" s="123"/>
      <c r="C11" s="124"/>
      <c r="D11" s="125"/>
      <c r="E11" s="125"/>
      <c r="F11" s="69">
        <v>6</v>
      </c>
      <c r="G11" s="126" t="s">
        <v>28</v>
      </c>
      <c r="H11" s="67"/>
      <c r="I11" s="68"/>
      <c r="J11" s="69">
        <v>1</v>
      </c>
      <c r="K11" s="127" t="s">
        <v>29</v>
      </c>
      <c r="L11" s="71"/>
      <c r="M11" s="72"/>
      <c r="N11" s="170" t="s">
        <v>45</v>
      </c>
      <c r="O11" s="73" t="s">
        <v>18</v>
      </c>
      <c r="P11" s="74" t="s">
        <v>19</v>
      </c>
      <c r="Q11" s="75" t="s">
        <v>170</v>
      </c>
      <c r="R11" s="76" t="s">
        <v>20</v>
      </c>
    </row>
    <row r="12" spans="2:18" ht="21.6" customHeight="1" thickTop="1" thickBot="1">
      <c r="B12" s="80">
        <v>2</v>
      </c>
      <c r="C12" s="36" t="s">
        <v>30</v>
      </c>
      <c r="D12" s="37"/>
      <c r="E12" s="37"/>
      <c r="F12" s="51">
        <v>1</v>
      </c>
      <c r="G12" s="52" t="s">
        <v>31</v>
      </c>
      <c r="H12" s="53"/>
      <c r="I12" s="54"/>
      <c r="J12" s="51">
        <v>1</v>
      </c>
      <c r="K12" s="55" t="s">
        <v>32</v>
      </c>
      <c r="L12" s="56"/>
      <c r="M12" s="57"/>
      <c r="N12" s="205" t="s">
        <v>45</v>
      </c>
      <c r="O12" s="58" t="s">
        <v>18</v>
      </c>
      <c r="P12" s="59" t="s">
        <v>19</v>
      </c>
      <c r="Q12" s="60" t="s">
        <v>170</v>
      </c>
      <c r="R12" s="61" t="s">
        <v>20</v>
      </c>
    </row>
    <row r="13" spans="2:18" ht="21.6" customHeight="1" thickTop="1" thickBot="1">
      <c r="B13" s="35"/>
      <c r="C13" s="49"/>
      <c r="D13" s="50"/>
      <c r="E13" s="50"/>
      <c r="F13" s="178">
        <v>2</v>
      </c>
      <c r="G13" s="94" t="s">
        <v>33</v>
      </c>
      <c r="H13" s="95"/>
      <c r="I13" s="96"/>
      <c r="J13" s="179">
        <v>1</v>
      </c>
      <c r="K13" s="55" t="s">
        <v>34</v>
      </c>
      <c r="L13" s="56"/>
      <c r="M13" s="57"/>
      <c r="N13" s="205" t="s">
        <v>45</v>
      </c>
      <c r="O13" s="58" t="s">
        <v>18</v>
      </c>
      <c r="P13" s="59" t="s">
        <v>19</v>
      </c>
      <c r="Q13" s="60" t="s">
        <v>170</v>
      </c>
      <c r="R13" s="61" t="s">
        <v>20</v>
      </c>
    </row>
    <row r="14" spans="2:18" ht="21.6" customHeight="1" thickTop="1" thickBot="1">
      <c r="B14" s="35"/>
      <c r="C14" s="49"/>
      <c r="D14" s="50"/>
      <c r="E14" s="50"/>
      <c r="F14" s="180"/>
      <c r="G14" s="169"/>
      <c r="H14" s="137"/>
      <c r="I14" s="138"/>
      <c r="J14" s="179">
        <v>2</v>
      </c>
      <c r="K14" s="55" t="s">
        <v>35</v>
      </c>
      <c r="L14" s="56"/>
      <c r="M14" s="57"/>
      <c r="N14" s="205" t="s">
        <v>45</v>
      </c>
      <c r="O14" s="58" t="s">
        <v>18</v>
      </c>
      <c r="P14" s="59" t="s">
        <v>19</v>
      </c>
      <c r="Q14" s="60" t="s">
        <v>170</v>
      </c>
      <c r="R14" s="61" t="s">
        <v>20</v>
      </c>
    </row>
    <row r="15" spans="2:18" ht="21.6" customHeight="1" thickTop="1" thickBot="1">
      <c r="B15" s="35"/>
      <c r="C15" s="49"/>
      <c r="D15" s="50"/>
      <c r="E15" s="50"/>
      <c r="F15" s="179">
        <v>3</v>
      </c>
      <c r="G15" s="52" t="s">
        <v>36</v>
      </c>
      <c r="H15" s="53"/>
      <c r="I15" s="54"/>
      <c r="J15" s="179">
        <v>1</v>
      </c>
      <c r="K15" s="55" t="s">
        <v>37</v>
      </c>
      <c r="L15" s="56"/>
      <c r="M15" s="57"/>
      <c r="N15" s="205" t="s">
        <v>45</v>
      </c>
      <c r="O15" s="58" t="s">
        <v>18</v>
      </c>
      <c r="P15" s="59" t="s">
        <v>19</v>
      </c>
      <c r="Q15" s="60" t="s">
        <v>170</v>
      </c>
      <c r="R15" s="61" t="s">
        <v>20</v>
      </c>
    </row>
    <row r="16" spans="2:18" ht="50.25" customHeight="1" thickTop="1" thickBot="1">
      <c r="B16" s="35"/>
      <c r="C16" s="49"/>
      <c r="D16" s="50"/>
      <c r="E16" s="50"/>
      <c r="F16" s="179">
        <v>4</v>
      </c>
      <c r="G16" s="52" t="s">
        <v>38</v>
      </c>
      <c r="H16" s="53"/>
      <c r="I16" s="54"/>
      <c r="J16" s="179">
        <v>2</v>
      </c>
      <c r="K16" s="194" t="s">
        <v>39</v>
      </c>
      <c r="L16" s="195"/>
      <c r="M16" s="196"/>
      <c r="N16" s="205" t="s">
        <v>45</v>
      </c>
      <c r="O16" s="58" t="s">
        <v>18</v>
      </c>
      <c r="P16" s="201">
        <v>46106</v>
      </c>
      <c r="Q16" s="60" t="s">
        <v>170</v>
      </c>
      <c r="R16" s="202" t="s">
        <v>20</v>
      </c>
    </row>
    <row r="17" spans="2:18" ht="14.25" customHeight="1" thickTop="1" thickBot="1">
      <c r="B17" s="191" t="s">
        <v>14</v>
      </c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3"/>
      <c r="N17" s="31">
        <f>COUNTIF(N6:N15,"Y")</f>
        <v>10</v>
      </c>
      <c r="O17" s="31">
        <f>COUNTIF(O6:O15,"OK")</f>
        <v>0</v>
      </c>
      <c r="P17" s="102"/>
      <c r="Q17" s="102"/>
      <c r="R17" s="103"/>
    </row>
    <row r="19" spans="2:18">
      <c r="B19" s="13"/>
      <c r="C19" s="13"/>
      <c r="D19" s="13"/>
      <c r="E19" s="13"/>
      <c r="F19" s="13"/>
      <c r="J19" s="13"/>
    </row>
    <row r="20" spans="2:18">
      <c r="B20" s="13"/>
      <c r="C20" s="13"/>
      <c r="D20" s="13"/>
      <c r="E20" s="13"/>
      <c r="F20" s="13"/>
      <c r="J20" s="13"/>
    </row>
    <row r="21" spans="2:18">
      <c r="B21" s="13"/>
      <c r="C21" s="13"/>
      <c r="D21" s="13"/>
      <c r="E21" s="13"/>
      <c r="F21" s="13"/>
      <c r="J21" s="13"/>
    </row>
  </sheetData>
  <mergeCells count="7">
    <mergeCell ref="B17:M17"/>
    <mergeCell ref="K16:M16"/>
    <mergeCell ref="B5:M5"/>
    <mergeCell ref="F3:I3"/>
    <mergeCell ref="J3:M3"/>
    <mergeCell ref="B3:E3"/>
    <mergeCell ref="B2:E2"/>
  </mergeCells>
  <phoneticPr fontId="12" type="noConversion"/>
  <pageMargins left="0.78749999999999998" right="0.78749999999999998" top="1.052777777777778" bottom="1.052777777777778" header="0.78749999999999998" footer="0.78749999999999998"/>
  <pageSetup firstPageNumber="0" orientation="portrait" horizontalDpi="300" verticalDpi="300"/>
  <headerFooter alignWithMargins="0">
    <oddHeader>&amp;C&amp;"Times New Roman,Regular"&amp;12 &amp;A</oddHeader>
    <oddFooter>&amp;C&amp;"Times New Roman,Regular"&amp;12 Page 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REV_HISTORY</vt:lpstr>
      <vt:lpstr>stt_check_item</vt:lpstr>
      <vt:lpstr>rtl_check_item</vt:lpstr>
      <vt:lpstr>tb_check_item</vt:lpstr>
      <vt:lpstr>redmine_check_item</vt:lpstr>
      <vt:lpstr>Excel_BuiltIn_Print_Titles_2_1</vt:lpstr>
      <vt:lpstr>stt_check_item!Print_Titles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 Minh. Huynh</dc:creator>
  <cp:lastModifiedBy>Thanh Ho</cp:lastModifiedBy>
  <dcterms:created xsi:type="dcterms:W3CDTF">2015-09-29T06:13:10Z</dcterms:created>
  <dcterms:modified xsi:type="dcterms:W3CDTF">2026-03-25T03:20:39Z</dcterms:modified>
</cp:coreProperties>
</file>